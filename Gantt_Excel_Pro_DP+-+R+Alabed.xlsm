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xportToPDF.png" ContentType="image/.png"/>
  <Override PartName="/customUI/images/EditTask64.png" ContentType="application/octet-stream"/>
  <Override PartName="/customUI/images/AddGanttChart64.png" ContentType="application/octet-stream"/>
  <Override PartName="/customUI/images/ScrolltoEnd.png" ContentType="image/.png"/>
  <Override PartName="/customUI/images/YearlyView.png" ContentType="image/.png"/>
  <Override PartName="/customUI/images/DailyView.png" ContentType="image/.png"/>
  <Override PartName="/customUI/images/SetupTimeline.png" ContentType="image/.png"/>
  <Override PartName="/customUI/images/AddTask64.png" ContentType="application/octet-stream"/>
  <Override PartName="/customUI/images/HalfYearlyView.png" ContentType="image/.png"/>
  <Override PartName="/customUI/images/AddSection64.png" ContentType="application/octet-stream"/>
  <Override PartName="/customUI/images/ExportToXLSX.png" ContentType="image/.png"/>
  <Override PartName="/customUI/images/QuarterlyView.png" ContentType="image/.png"/>
  <Override PartName="/customUI/images/MonthlyView.png" ContentType="image/.png"/>
  <Override PartName="/customUI/images/HourlyView.png" ContentType="image/.png"/>
  <Override PartName="/customUI/images/AddMilestone.png" ContentType="image/.png"/>
  <Override PartName="/customUI/images/WeeklyView.png" ContentType="image/.png"/>
  <Override PartName="/customUI/images/deleteTask64.png" ContentType="application/octet-stream"/>
  <Override PartName="/customUI/images/ScrolltoStart.png" ContentType="image/.png"/>
  <Override PartName="/customUI/images/ScrolltoToday.png" ContentType="image/.png"/>
  <Override PartName="/customUI/images/moreviews.png" ContentType="image/.png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 /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onyc\Downloads\3.65 as of Jun 18 2021\Rana alabed\"/>
    </mc:Choice>
  </mc:AlternateContent>
  <xr:revisionPtr revIDLastSave="0" documentId="13_ncr:1000001_{66CD6434-ABC1-BF49-955B-A072E0C9553F}" xr6:coauthVersionLast="47" xr6:coauthVersionMax="47" xr10:uidLastSave="{00000000-0000-0000-0000-000000000000}"/>
  <bookViews>
    <workbookView xWindow="1560" yWindow="1560" windowWidth="21600" windowHeight="11385" tabRatio="608" firstSheet="2" activeTab="2" xr2:uid="{00000000-000D-0000-FFFF-FFFF00000000}"/>
  </bookViews>
  <sheets>
    <sheet name="GanttSettingsTemplate" sheetId="50" state="veryHidden" r:id="rId1"/>
    <sheet name="GanttDashboardTemplate" sheetId="3" state="veryHidden" r:id="rId2"/>
    <sheet name="Project Plan" sheetId="53" r:id="rId3"/>
    <sheet name="Help" sheetId="7" r:id="rId4"/>
    <sheet name="GS1" sheetId="52" state="veryHidden" r:id="rId5"/>
    <sheet name="RS1" sheetId="51" state="veryHidden" r:id="rId6"/>
  </sheets>
  <definedNames>
    <definedName name="_xlnm.Print_Area" localSheetId="1">GanttDashboardTemplate!$B$1:$G$36</definedName>
    <definedName name="_xlnm.Print_Titles" localSheetId="1">GanttDashboardTemplate!$2:$2</definedName>
    <definedName name="VG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3" i="3" l="1"/>
  <c r="Z13" i="3"/>
  <c r="Y12" i="3"/>
  <c r="Z12" i="3"/>
  <c r="E12" i="3"/>
  <c r="Y11" i="3"/>
  <c r="Z11" i="3"/>
  <c r="E11" i="3"/>
  <c r="E10" i="3"/>
  <c r="E9" i="3"/>
  <c r="Y8" i="3"/>
  <c r="Z8" i="3"/>
  <c r="E8" i="3"/>
  <c r="Z7" i="3"/>
  <c r="E7" i="3"/>
  <c r="Z6" i="3"/>
  <c r="E6" i="3"/>
  <c r="X3" i="3"/>
  <c r="E4" i="3"/>
  <c r="X16" i="3"/>
  <c r="Y9" i="3"/>
  <c r="Z9" i="3"/>
  <c r="Y3" i="3"/>
</calcChain>
</file>

<file path=xl/sharedStrings.xml><?xml version="1.0" encoding="utf-8"?>
<sst xmlns="http://schemas.openxmlformats.org/spreadsheetml/2006/main" count="505" uniqueCount="267">
  <si>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</si>
  <si>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</si>
  <si>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</si>
  <si>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</si>
  <si>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</si>
  <si>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</si>
  <si>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</si>
  <si>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</si>
  <si>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</si>
  <si>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</si>
  <si>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</si>
  <si>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</si>
  <si>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</si>
  <si>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</si>
  <si>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</si>
  <si>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</si>
  <si>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</si>
  <si>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</si>
  <si>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</si>
  <si>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</si>
  <si>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</si>
  <si>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</si>
  <si>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</si>
  <si>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</si>
  <si>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</si>
  <si>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</si>
  <si>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</si>
  <si>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</si>
  <si>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</si>
  <si>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</si>
  <si>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</si>
  <si>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</si>
  <si>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</si>
  <si>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</si>
  <si>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</si>
  <si>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</si>
  <si>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</si>
  <si>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</si>
  <si>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</si>
  <si>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</si>
  <si>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</si>
  <si>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</si>
  <si>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</si>
  <si>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</si>
  <si>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</si>
  <si>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</si>
  <si>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</si>
  <si>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</si>
  <si>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</si>
  <si>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DDD DD\-MMM\-YY</t>
  </si>
  <si>
    <t>D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</si>
  <si>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</si>
  <si>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</si>
  <si>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</si>
  <si>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</si>
  <si>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</si>
  <si>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</si>
  <si>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</si>
  <si>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</si>
  <si>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</si>
  <si>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</si>
  <si>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</si>
  <si>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</si>
  <si>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</si>
  <si>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</si>
  <si>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</si>
  <si>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EC</t>
  </si>
  <si>
    <t>LV</t>
  </si>
  <si>
    <t>WeekStartDay</t>
  </si>
  <si>
    <t>ShowLate</t>
  </si>
  <si>
    <t>ShowPlanned</t>
  </si>
  <si>
    <t>ShowInProgress</t>
  </si>
  <si>
    <t>ShowCompleted</t>
  </si>
  <si>
    <t>CurrentView</t>
  </si>
  <si>
    <t>CurrencySymbol</t>
  </si>
  <si>
    <t>TotalACS</t>
  </si>
  <si>
    <t>ActualCosts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</si>
  <si>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</si>
  <si>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</si>
  <si>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</si>
  <si>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</si>
  <si>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</si>
  <si>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</si>
  <si>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</si>
  <si>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</si>
  <si>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</si>
  <si>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</si>
  <si>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liky</t>
  </si>
  <si>
    <t>0</t>
  </si>
  <si>
    <t>1</t>
  </si>
  <si>
    <t>Lead Generation</t>
  </si>
  <si>
    <t>31,726</t>
  </si>
  <si>
    <t>MP</t>
  </si>
  <si>
    <t>duli</t>
  </si>
  <si>
    <t>WeekNumType</t>
  </si>
  <si>
    <t>ISO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</si>
  <si>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</si>
  <si>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</si>
  <si>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</si>
  <si>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</si>
  <si>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</si>
  <si>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</si>
  <si>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</si>
  <si>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</si>
  <si>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</si>
  <si>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FiSa</t>
  </si>
  <si>
    <t>asdflkjl</t>
  </si>
  <si>
    <t>;J=,F\)-'+%tyzivm":YHs</t>
  </si>
  <si>
    <t>Dark</t>
  </si>
  <si>
    <t>Classic</t>
  </si>
  <si>
    <t>Blue</t>
  </si>
  <si>
    <t>Excel</t>
  </si>
  <si>
    <t>Custom</t>
  </si>
  <si>
    <t>Enable Macros</t>
  </si>
  <si>
    <t>ThemeName</t>
  </si>
  <si>
    <t>SelectedTheme</t>
  </si>
  <si>
    <t>EBC</t>
  </si>
  <si>
    <t>EMC</t>
  </si>
  <si>
    <t>BBC</t>
  </si>
  <si>
    <t>ABC</t>
  </si>
  <si>
    <t>OBC</t>
  </si>
  <si>
    <t>TLC</t>
  </si>
  <si>
    <t>TBC</t>
  </si>
  <si>
    <t>PBC</t>
  </si>
  <si>
    <t>HBC</t>
  </si>
  <si>
    <t>HC</t>
  </si>
  <si>
    <t>WC</t>
  </si>
  <si>
    <t>CR1C</t>
  </si>
  <si>
    <t>CR2C</t>
  </si>
  <si>
    <t>CR3C</t>
  </si>
  <si>
    <t>TGB</t>
  </si>
  <si>
    <t>DLC</t>
  </si>
  <si>
    <t>HCOL</t>
  </si>
  <si>
    <t>DCOL</t>
  </si>
  <si>
    <t>WCOL</t>
  </si>
  <si>
    <t>MCOL</t>
  </si>
  <si>
    <t>QCOL</t>
  </si>
  <si>
    <t>HYCOL</t>
  </si>
  <si>
    <t>YCOL</t>
  </si>
  <si>
    <t>HWID</t>
  </si>
  <si>
    <t>DWID</t>
  </si>
  <si>
    <t>WWID</t>
  </si>
  <si>
    <t>MWID</t>
  </si>
  <si>
    <t>QWID</t>
  </si>
  <si>
    <t>YWID</t>
  </si>
  <si>
    <t>HYWID</t>
  </si>
  <si>
    <t>ds082</t>
  </si>
  <si>
    <t>CR12C</t>
  </si>
  <si>
    <t>RCCal</t>
  </si>
  <si>
    <t>GBC</t>
  </si>
  <si>
    <t>PTRC</t>
  </si>
  <si>
    <t>TSD</t>
  </si>
  <si>
    <t>TED</t>
  </si>
  <si>
    <t>ShowTimelineGrid</t>
  </si>
  <si>
    <t>ShowHolidays</t>
  </si>
  <si>
    <t>ShowWeekends</t>
  </si>
  <si>
    <t>ShowHolidaysPR</t>
  </si>
  <si>
    <t>ShowWeekendsPR</t>
  </si>
  <si>
    <t>HCPR</t>
  </si>
  <si>
    <t>WCPR</t>
  </si>
  <si>
    <t>9</t>
  </si>
  <si>
    <t>RefreshTimeline</t>
  </si>
  <si>
    <t>resourcesettings</t>
  </si>
  <si>
    <t>CalcAED</t>
  </si>
  <si>
    <t>CalcBED</t>
  </si>
  <si>
    <t>GCTYPE</t>
  </si>
  <si>
    <t>GRT</t>
  </si>
  <si>
    <t>TimelineVisible</t>
  </si>
  <si>
    <t>ShowEstBaseBar</t>
  </si>
  <si>
    <t>EBaseC</t>
  </si>
  <si>
    <t>Priority</t>
  </si>
  <si>
    <t>Status</t>
  </si>
  <si>
    <t>TPCH</t>
  </si>
  <si>
    <t>TPCN</t>
  </si>
  <si>
    <t>TPCL</t>
  </si>
  <si>
    <t>TSCC</t>
  </si>
  <si>
    <t>TSCI</t>
  </si>
  <si>
    <t>TSCP</t>
  </si>
  <si>
    <t>ProjectName</t>
  </si>
  <si>
    <t>SSN</t>
  </si>
  <si>
    <t>PTDS</t>
  </si>
  <si>
    <t>ShowPercBar</t>
  </si>
  <si>
    <t>ShowPercDataBar</t>
  </si>
  <si>
    <t>PDC</t>
  </si>
  <si>
    <t>PRC</t>
  </si>
  <si>
    <t>ceDate</t>
  </si>
  <si>
    <t>csDate</t>
  </si>
  <si>
    <t>ceYear</t>
  </si>
  <si>
    <t>csYear</t>
  </si>
  <si>
    <t xml:space="preserve">For Windows Excel versions 2007 - 2019 + All versions of Microsoft 365 and MAC Excel Version 2016 - 2019  + All versions of Microsoft 365 </t>
  </si>
  <si>
    <r>
      <rPr>
        <sz val="28"/>
        <color rgb="FFFF0000"/>
        <rFont val="Calibri"/>
        <family val="2"/>
        <scheme val="minor"/>
      </rPr>
      <t>Gantt Excel</t>
    </r>
    <r>
      <rPr>
        <sz val="28"/>
        <color theme="1"/>
        <rFont val="Calibri"/>
        <family val="2"/>
        <scheme val="minor"/>
      </rPr>
      <t xml:space="preserve"> - </t>
    </r>
    <r>
      <rPr>
        <sz val="28"/>
        <color theme="9" tint="-0.249977111117893"/>
        <rFont val="Calibri"/>
        <family val="2"/>
        <scheme val="minor"/>
      </rPr>
      <t>Project Management in Excel</t>
    </r>
  </si>
  <si>
    <t>Use the Gantt Menu tab in the Excel Ribbon to Create, View and Edit Gantt Charts</t>
  </si>
  <si>
    <t>QUICK START GUIDE</t>
  </si>
  <si>
    <t>SavedDate</t>
  </si>
  <si>
    <t>10D6W</t>
  </si>
  <si>
    <t>TR8#{3SM</t>
  </si>
  <si>
    <t>@G' 0Aqs\@rqYS8o2P@</t>
  </si>
  <si>
    <t>Rana Alabed</t>
  </si>
  <si>
    <t>PD4505b6dd-705b-4cc7-a7f8-d5caedf51dfa</t>
  </si>
  <si>
    <t>Resource</t>
  </si>
  <si>
    <t>Cost</t>
  </si>
  <si>
    <t>Use Org Holidays</t>
  </si>
  <si>
    <t>Department</t>
  </si>
  <si>
    <t>Workhours Start</t>
  </si>
  <si>
    <t>Workhours End</t>
  </si>
  <si>
    <t>WorkdaySun</t>
  </si>
  <si>
    <t>WorkdayMon</t>
  </si>
  <si>
    <t>WorkdayTue</t>
  </si>
  <si>
    <t>WorkdayWed</t>
  </si>
  <si>
    <t>WorkdayThu</t>
  </si>
  <si>
    <t>WorkdayFri</t>
  </si>
  <si>
    <t>WorkdaySat</t>
  </si>
  <si>
    <t>Holidays</t>
  </si>
  <si>
    <t>Organization</t>
  </si>
  <si>
    <t>DO NOT MODIFY THIS SHEET OR INSERT COLUMNS</t>
  </si>
  <si>
    <t>tID</t>
  </si>
  <si>
    <t>tDependency</t>
  </si>
  <si>
    <t>tDependents</t>
  </si>
  <si>
    <t>tStartConstrain</t>
  </si>
  <si>
    <t>tEndConstrain</t>
  </si>
  <si>
    <t>TIL</t>
  </si>
  <si>
    <t>SS</t>
  </si>
  <si>
    <t>TaskType</t>
  </si>
  <si>
    <t>TColor</t>
  </si>
  <si>
    <t>TPColor</t>
  </si>
  <si>
    <t>BLColor</t>
  </si>
  <si>
    <t>ACColor</t>
  </si>
  <si>
    <t>LC</t>
  </si>
  <si>
    <t>TimelineStart</t>
  </si>
  <si>
    <t>TimelineEnd</t>
  </si>
  <si>
    <t>Task Name</t>
  </si>
  <si>
    <t>Resource Cost</t>
  </si>
  <si>
    <t>Baseline Start</t>
  </si>
  <si>
    <t>Baseline End</t>
  </si>
  <si>
    <t>Baseline Duration</t>
  </si>
  <si>
    <t>Start</t>
  </si>
  <si>
    <t>Finish</t>
  </si>
  <si>
    <t>Duration</t>
  </si>
  <si>
    <t>Done</t>
  </si>
  <si>
    <t>Percent Complete</t>
  </si>
  <si>
    <t>Actual Start</t>
  </si>
  <si>
    <t>Actual End</t>
  </si>
  <si>
    <t>Actual Duration</t>
  </si>
  <si>
    <t>Baseline Cost</t>
  </si>
  <si>
    <t>Bar Color</t>
  </si>
  <si>
    <t>% Color</t>
  </si>
  <si>
    <t>Baseline Color</t>
  </si>
  <si>
    <t>Actuals Color</t>
  </si>
  <si>
    <t>T</t>
  </si>
  <si>
    <t>Type here or double click to edit in form</t>
  </si>
  <si>
    <t>System</t>
  </si>
  <si>
    <t>RS1</t>
  </si>
  <si>
    <t>M</t>
  </si>
  <si>
    <t>W26</t>
  </si>
  <si>
    <t>W</t>
  </si>
  <si>
    <t>F</t>
  </si>
  <si>
    <t>S</t>
  </si>
  <si>
    <t>W27</t>
  </si>
  <si>
    <t>W28</t>
  </si>
  <si>
    <t>W29</t>
  </si>
  <si>
    <t>W30</t>
  </si>
  <si>
    <t>NORMAL</t>
  </si>
  <si>
    <t>u</t>
  </si>
  <si>
    <t>Type here to add a new task</t>
  </si>
  <si>
    <t>Project Name - Click to Edit</t>
  </si>
  <si>
    <t>Project Lead: Click to edit</t>
  </si>
  <si>
    <r>
      <t>Project Budget</t>
    </r>
    <r>
      <rPr>
        <sz val="10"/>
        <color rgb="FF808080"/>
        <rFont val="Calibri"/>
        <family val="2"/>
        <scheme val="minor"/>
      </rPr>
      <t xml:space="preserve">: Estimated: $0.00 | Baseline: $0.00 | </t>
    </r>
    <r>
      <rPr>
        <b/>
        <sz val="10"/>
        <color rgb="FF808080"/>
        <rFont val="Calibri"/>
        <family val="2"/>
        <scheme val="minor"/>
      </rPr>
      <t>Task Costs</t>
    </r>
    <r>
      <rPr>
        <sz val="10"/>
        <color rgb="FF808080"/>
        <rFont val="Calibri"/>
        <family val="2"/>
        <scheme val="minor"/>
      </rPr>
      <t>: Estimated: $0.00 | Baseline: $0.00 | Actual: $0.00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</si>
</sst>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dd/mmm/yy"/>
    <numFmt numFmtId="165" formatCode="&quot;Ft&quot;\ #,##0"/>
    <numFmt numFmtId="166" formatCode="ddd\ dd\-mmm\-yy"/>
    <numFmt numFmtId="167" formatCode="[$$-409]#,##0.00"/>
  </numFmts>
  <fonts count="38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6"/>
      <color rgb="FF00B0F0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sz val="28"/>
      <color theme="9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808080"/>
      <name val="Calibri"/>
      <family val="2"/>
      <scheme val="minor"/>
    </font>
    <font>
      <sz val="11"/>
      <color rgb="FF4472C4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000000"/>
      <name val="Arial"/>
      <family val="2"/>
    </font>
    <font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0"/>
      <color rgb="FFA8E7FE"/>
      <name val="Wingdings 3"/>
      <family val="1"/>
      <charset val="2"/>
    </font>
    <font>
      <b/>
      <sz val="10"/>
      <color rgb="FF80808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rgb="FFF0FFDD"/>
        <bgColor indexed="64"/>
      </patternFill>
    </fill>
    <fill>
      <patternFill patternType="solid">
        <fgColor rgb="FFDCF9A9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DA00"/>
        <bgColor indexed="64"/>
      </patternFill>
    </fill>
    <fill>
      <patternFill patternType="solid">
        <fgColor rgb="FF4472C4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rgb="FFCCFFFF"/>
      </right>
      <top/>
      <bottom/>
      <diagonal/>
    </border>
    <border>
      <left style="thin">
        <color rgb="FFCCFFFF"/>
      </left>
      <right style="thin">
        <color rgb="FFCCFFFF"/>
      </right>
      <top/>
      <bottom/>
      <diagonal/>
    </border>
    <border>
      <left style="thin">
        <color rgb="FFCCFFFF"/>
      </left>
      <right/>
      <top/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 style="thin">
        <color rgb="FFCCFFFF"/>
      </right>
      <top style="thin">
        <color rgb="FFCCFFFF"/>
      </top>
      <bottom style="thin">
        <color rgb="FFCCFFFF"/>
      </bottom>
      <diagonal/>
    </border>
    <border>
      <left style="thin">
        <color rgb="FFCCFFFF"/>
      </left>
      <right style="thin">
        <color rgb="FFCCFFFF"/>
      </right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</borders>
  <cellStyleXfs count="20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2" fillId="0" borderId="0"/>
  </cellStyleXfs>
  <cellXfs count="181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9" fillId="0" borderId="0" xfId="0" applyNumberFormat="1" applyFont="1"/>
    <xf numFmtId="3" fontId="10" fillId="0" borderId="3" xfId="0" applyNumberFormat="1" applyFont="1" applyBorder="1"/>
    <xf numFmtId="0" fontId="8" fillId="0" borderId="3" xfId="0" applyFont="1" applyBorder="1"/>
    <xf numFmtId="3" fontId="8" fillId="0" borderId="0" xfId="0" applyNumberFormat="1" applyFont="1"/>
    <xf numFmtId="3" fontId="8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8" fillId="0" borderId="0" xfId="3" applyFont="1" applyAlignment="1" applyProtection="1">
      <alignment horizontal="center" vertical="top"/>
      <protection locked="0"/>
    </xf>
    <xf numFmtId="15" fontId="8" fillId="0" borderId="0" xfId="0" applyNumberFormat="1" applyFont="1"/>
    <xf numFmtId="15" fontId="8" fillId="0" borderId="3" xfId="0" applyNumberFormat="1" applyFont="1" applyBorder="1"/>
    <xf numFmtId="0" fontId="8" fillId="0" borderId="0" xfId="0" applyFont="1" applyAlignment="1">
      <alignment horizontal="right"/>
    </xf>
    <xf numFmtId="0" fontId="8" fillId="0" borderId="3" xfId="0" applyFont="1" applyBorder="1" applyAlignment="1">
      <alignment horizontal="right"/>
    </xf>
    <xf numFmtId="0" fontId="10" fillId="0" borderId="0" xfId="4" applyFont="1" applyAlignment="1" applyProtection="1">
      <alignment vertical="top"/>
      <protection locked="0"/>
    </xf>
    <xf numFmtId="165" fontId="8" fillId="0" borderId="0" xfId="3" applyNumberFormat="1" applyFont="1" applyAlignment="1">
      <alignment horizontal="center" vertical="top"/>
    </xf>
    <xf numFmtId="0" fontId="8" fillId="0" borderId="0" xfId="3" applyNumberFormat="1" applyFont="1" applyAlignment="1" applyProtection="1">
      <alignment horizontal="center" vertical="top"/>
      <protection locked="0"/>
    </xf>
    <xf numFmtId="9" fontId="10" fillId="0" borderId="0" xfId="4" applyNumberFormat="1" applyFont="1" applyAlignment="1">
      <alignment horizontal="right" vertical="top"/>
    </xf>
    <xf numFmtId="165" fontId="10" fillId="0" borderId="0" xfId="4" applyNumberFormat="1" applyFont="1" applyAlignment="1">
      <alignment vertical="top"/>
    </xf>
    <xf numFmtId="0" fontId="10" fillId="0" borderId="0" xfId="4" applyFont="1" applyAlignment="1">
      <alignment vertical="top"/>
    </xf>
    <xf numFmtId="49" fontId="10" fillId="0" borderId="0" xfId="4" applyNumberFormat="1" applyFont="1" applyAlignment="1">
      <alignment horizontal="center" vertical="top"/>
    </xf>
    <xf numFmtId="0" fontId="8" fillId="0" borderId="0" xfId="4" applyFont="1" applyAlignment="1" applyProtection="1">
      <alignment horizontal="center" vertical="top"/>
      <protection locked="0"/>
    </xf>
    <xf numFmtId="166" fontId="10" fillId="0" borderId="0" xfId="4" applyNumberFormat="1" applyFont="1" applyAlignment="1" applyProtection="1">
      <alignment vertical="top"/>
      <protection locked="0"/>
    </xf>
    <xf numFmtId="49" fontId="10" fillId="0" borderId="0" xfId="4" applyNumberFormat="1" applyFont="1" applyAlignment="1" applyProtection="1">
      <alignment horizontal="right" vertical="top"/>
      <protection locked="0"/>
    </xf>
    <xf numFmtId="0" fontId="7" fillId="0" borderId="0" xfId="4" applyProtection="1">
      <protection locked="0"/>
    </xf>
    <xf numFmtId="0" fontId="12" fillId="3" borderId="0" xfId="0" applyFont="1" applyFill="1" applyAlignment="1">
      <alignment vertical="center"/>
    </xf>
    <xf numFmtId="0" fontId="13" fillId="0" borderId="3" xfId="0" applyFont="1" applyBorder="1"/>
    <xf numFmtId="0" fontId="0" fillId="4" borderId="0" xfId="0" applyFill="1" applyProtection="1">
      <protection locked="0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1" fillId="3" borderId="0" xfId="0" applyFont="1" applyFill="1"/>
    <xf numFmtId="0" fontId="0" fillId="3" borderId="6" xfId="0" applyFill="1" applyBorder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vertical="center"/>
    </xf>
    <xf numFmtId="0" fontId="15" fillId="3" borderId="0" xfId="0" applyFont="1" applyFill="1" applyProtection="1">
      <protection locked="0"/>
    </xf>
    <xf numFmtId="0" fontId="15" fillId="3" borderId="5" xfId="0" applyFont="1" applyFill="1" applyBorder="1" applyProtection="1">
      <protection locked="0"/>
    </xf>
    <xf numFmtId="0" fontId="15" fillId="3" borderId="5" xfId="0" applyFont="1" applyFill="1" applyBorder="1" applyAlignment="1" applyProtection="1">
      <alignment horizontal="right"/>
      <protection locked="0"/>
    </xf>
    <xf numFmtId="0" fontId="15" fillId="3" borderId="2" xfId="0" applyFont="1" applyFill="1" applyBorder="1" applyAlignment="1" applyProtection="1">
      <alignment horizontal="right"/>
      <protection locked="0"/>
    </xf>
    <xf numFmtId="0" fontId="15" fillId="3" borderId="0" xfId="0" applyFont="1" applyFill="1" applyAlignment="1" applyProtection="1">
      <alignment horizontal="right"/>
      <protection locked="0"/>
    </xf>
    <xf numFmtId="9" fontId="15" fillId="3" borderId="5" xfId="0" applyNumberFormat="1" applyFont="1" applyFill="1" applyBorder="1" applyProtection="1">
      <protection locked="0"/>
    </xf>
    <xf numFmtId="9" fontId="15" fillId="3" borderId="5" xfId="0" applyNumberFormat="1" applyFont="1" applyFill="1" applyBorder="1" applyAlignment="1" applyProtection="1">
      <alignment horizontal="right"/>
      <protection locked="0"/>
    </xf>
    <xf numFmtId="9" fontId="15" fillId="3" borderId="0" xfId="0" applyNumberFormat="1" applyFont="1" applyFill="1" applyAlignment="1" applyProtection="1">
      <alignment horizontal="right"/>
      <protection locked="0"/>
    </xf>
    <xf numFmtId="164" fontId="10" fillId="0" borderId="0" xfId="4" applyNumberFormat="1" applyFont="1" applyAlignment="1">
      <alignment vertical="top"/>
    </xf>
    <xf numFmtId="164" fontId="10" fillId="0" borderId="0" xfId="4" applyNumberFormat="1" applyFont="1" applyAlignment="1">
      <alignment horizontal="right" vertical="top"/>
    </xf>
    <xf numFmtId="3" fontId="10" fillId="0" borderId="0" xfId="4" applyNumberFormat="1" applyFont="1" applyAlignment="1">
      <alignment horizontal="right" vertical="top"/>
    </xf>
    <xf numFmtId="3" fontId="8" fillId="0" borderId="0" xfId="3" applyNumberFormat="1" applyFont="1" applyAlignment="1">
      <alignment horizontal="center" vertical="top"/>
    </xf>
    <xf numFmtId="0" fontId="7" fillId="0" borderId="0" xfId="4" applyBorder="1"/>
    <xf numFmtId="0" fontId="0" fillId="0" borderId="0" xfId="0" applyBorder="1"/>
    <xf numFmtId="0" fontId="20" fillId="0" borderId="0" xfId="0" applyFont="1" applyBorder="1"/>
    <xf numFmtId="0" fontId="7" fillId="0" borderId="0" xfId="4" applyFill="1" applyBorder="1"/>
    <xf numFmtId="0" fontId="7" fillId="0" borderId="0" xfId="4" applyBorder="1" applyProtection="1">
      <protection locked="0"/>
    </xf>
    <xf numFmtId="4" fontId="7" fillId="0" borderId="0" xfId="4" applyNumberFormat="1" applyBorder="1" applyProtection="1">
      <protection locked="0"/>
    </xf>
    <xf numFmtId="14" fontId="7" fillId="0" borderId="0" xfId="4" applyNumberFormat="1" applyBorder="1" applyProtection="1">
      <protection locked="0"/>
    </xf>
    <xf numFmtId="0" fontId="0" fillId="30" borderId="0" xfId="0" applyFill="1" applyBorder="1"/>
    <xf numFmtId="0" fontId="0" fillId="29" borderId="0" xfId="0" applyFill="1" applyBorder="1"/>
    <xf numFmtId="0" fontId="0" fillId="9" borderId="0" xfId="0" applyFill="1" applyBorder="1"/>
    <xf numFmtId="0" fontId="0" fillId="2" borderId="0" xfId="0" applyFill="1" applyBorder="1"/>
    <xf numFmtId="0" fontId="0" fillId="11" borderId="0" xfId="0" applyFill="1" applyBorder="1"/>
    <xf numFmtId="0" fontId="0" fillId="32" borderId="0" xfId="0" applyFill="1" applyBorder="1"/>
    <xf numFmtId="0" fontId="0" fillId="15" borderId="0" xfId="0" applyFill="1" applyBorder="1"/>
    <xf numFmtId="0" fontId="0" fillId="6" borderId="0" xfId="0" applyFill="1" applyBorder="1"/>
    <xf numFmtId="0" fontId="0" fillId="28" borderId="0" xfId="0" applyFill="1" applyBorder="1"/>
    <xf numFmtId="0" fontId="0" fillId="31" borderId="0" xfId="0" applyFill="1" applyBorder="1"/>
    <xf numFmtId="0" fontId="0" fillId="33" borderId="0" xfId="0" applyFill="1" applyBorder="1"/>
    <xf numFmtId="1" fontId="7" fillId="0" borderId="0" xfId="4" applyNumberFormat="1" applyBorder="1"/>
    <xf numFmtId="0" fontId="0" fillId="16" borderId="0" xfId="0" applyFill="1" applyBorder="1"/>
    <xf numFmtId="0" fontId="0" fillId="10" borderId="0" xfId="0" applyFill="1" applyBorder="1"/>
    <xf numFmtId="0" fontId="0" fillId="12" borderId="0" xfId="0" applyFill="1" applyBorder="1"/>
    <xf numFmtId="0" fontId="0" fillId="5" borderId="0" xfId="0" applyFill="1" applyBorder="1"/>
    <xf numFmtId="0" fontId="0" fillId="27" borderId="0" xfId="0" applyFill="1" applyBorder="1"/>
    <xf numFmtId="0" fontId="0" fillId="4" borderId="0" xfId="0" applyFill="1" applyBorder="1"/>
    <xf numFmtId="0" fontId="0" fillId="25" borderId="0" xfId="0" applyFill="1" applyBorder="1"/>
    <xf numFmtId="0" fontId="0" fillId="7" borderId="0" xfId="0" applyFill="1" applyBorder="1"/>
    <xf numFmtId="0" fontId="0" fillId="17" borderId="0" xfId="0" applyFill="1" applyBorder="1"/>
    <xf numFmtId="0" fontId="0" fillId="18" borderId="0" xfId="0" applyFill="1" applyBorder="1"/>
    <xf numFmtId="0" fontId="0" fillId="14" borderId="0" xfId="0" applyFill="1" applyBorder="1"/>
    <xf numFmtId="0" fontId="0" fillId="23" borderId="0" xfId="0" applyFill="1" applyBorder="1"/>
    <xf numFmtId="0" fontId="0" fillId="22" borderId="0" xfId="0" applyFill="1" applyBorder="1"/>
    <xf numFmtId="0" fontId="0" fillId="13" borderId="0" xfId="0" applyFill="1" applyBorder="1"/>
    <xf numFmtId="0" fontId="0" fillId="26" borderId="0" xfId="0" applyFill="1" applyBorder="1"/>
    <xf numFmtId="0" fontId="0" fillId="20" borderId="0" xfId="0" applyFill="1" applyBorder="1"/>
    <xf numFmtId="0" fontId="0" fillId="19" borderId="0" xfId="0" applyFill="1" applyBorder="1"/>
    <xf numFmtId="0" fontId="0" fillId="24" borderId="0" xfId="0" applyFill="1" applyBorder="1"/>
    <xf numFmtId="0" fontId="0" fillId="8" borderId="0" xfId="0" applyFill="1" applyBorder="1"/>
    <xf numFmtId="0" fontId="0" fillId="21" borderId="0" xfId="0" applyFill="1" applyBorder="1"/>
    <xf numFmtId="0" fontId="7" fillId="0" borderId="0" xfId="4" applyFill="1" applyBorder="1" applyProtection="1">
      <protection locked="0"/>
    </xf>
    <xf numFmtId="49" fontId="7" fillId="0" borderId="0" xfId="4" applyNumberFormat="1" applyFill="1" applyBorder="1"/>
    <xf numFmtId="14" fontId="7" fillId="0" borderId="0" xfId="4" applyNumberFormat="1" applyFill="1" applyBorder="1" applyProtection="1">
      <protection locked="0"/>
    </xf>
    <xf numFmtId="0" fontId="7" fillId="0" borderId="0" xfId="4" applyNumberFormat="1" applyFill="1" applyBorder="1"/>
    <xf numFmtId="0" fontId="0" fillId="0" borderId="0" xfId="0"/>
    <xf numFmtId="0" fontId="0" fillId="34" borderId="0" xfId="0" applyFill="1" applyBorder="1"/>
    <xf numFmtId="0" fontId="0" fillId="35" borderId="0" xfId="0" applyFill="1" applyBorder="1"/>
    <xf numFmtId="0" fontId="0" fillId="3" borderId="0" xfId="0" applyFill="1" applyBorder="1"/>
    <xf numFmtId="0" fontId="0" fillId="0" borderId="0" xfId="0"/>
    <xf numFmtId="0" fontId="0" fillId="0" borderId="0" xfId="0"/>
    <xf numFmtId="0" fontId="0" fillId="36" borderId="0" xfId="0" applyFill="1" applyBorder="1"/>
    <xf numFmtId="0" fontId="0" fillId="37" borderId="0" xfId="0" applyFill="1" applyBorder="1"/>
    <xf numFmtId="0" fontId="0" fillId="0" borderId="0" xfId="0"/>
    <xf numFmtId="0" fontId="0" fillId="38" borderId="0" xfId="0" applyFill="1" applyBorder="1"/>
    <xf numFmtId="0" fontId="0" fillId="0" borderId="0" xfId="0"/>
    <xf numFmtId="0" fontId="0" fillId="0" borderId="0" xfId="0"/>
    <xf numFmtId="0" fontId="12" fillId="0" borderId="0" xfId="0" applyFont="1" applyFill="1" applyAlignment="1" applyProtection="1">
      <alignment horizontal="left" vertical="center"/>
      <protection locked="0"/>
    </xf>
    <xf numFmtId="0" fontId="0" fillId="0" borderId="0" xfId="0"/>
    <xf numFmtId="0" fontId="6" fillId="4" borderId="0" xfId="0" applyFont="1" applyFill="1" applyBorder="1"/>
    <xf numFmtId="0" fontId="5" fillId="4" borderId="0" xfId="0" applyFont="1" applyFill="1" applyBorder="1"/>
    <xf numFmtId="49" fontId="0" fillId="0" borderId="0" xfId="0" applyNumberFormat="1" applyBorder="1"/>
    <xf numFmtId="0" fontId="4" fillId="4" borderId="0" xfId="0" applyFont="1" applyFill="1" applyBorder="1" applyAlignment="1">
      <alignment horizontal="left" vertical="center" indent="5"/>
    </xf>
    <xf numFmtId="0" fontId="3" fillId="4" borderId="0" xfId="2" applyFont="1" applyFill="1" applyBorder="1" applyProtection="1">
      <protection locked="0"/>
    </xf>
    <xf numFmtId="0" fontId="18" fillId="4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indent="5"/>
    </xf>
    <xf numFmtId="0" fontId="3" fillId="2" borderId="0" xfId="2" applyFont="1" applyFill="1" applyBorder="1" applyProtection="1">
      <protection locked="0"/>
    </xf>
    <xf numFmtId="0" fontId="21" fillId="0" borderId="0" xfId="0" applyFont="1" applyBorder="1"/>
    <xf numFmtId="0" fontId="19" fillId="4" borderId="0" xfId="0" applyFont="1" applyFill="1" applyBorder="1"/>
    <xf numFmtId="0" fontId="2" fillId="4" borderId="0" xfId="2" applyFill="1" applyBorder="1" applyAlignment="1">
      <alignment horizontal="center"/>
    </xf>
    <xf numFmtId="0" fontId="17" fillId="0" borderId="0" xfId="0" applyFont="1" applyBorder="1"/>
    <xf numFmtId="0" fontId="0" fillId="0" borderId="0" xfId="0" applyBorder="1"/>
    <xf numFmtId="0" fontId="0" fillId="39" borderId="0" xfId="0" applyFill="1" applyBorder="1"/>
    <xf numFmtId="0" fontId="0" fillId="40" borderId="0" xfId="0" applyFill="1" applyBorder="1"/>
    <xf numFmtId="0" fontId="0" fillId="41" borderId="0" xfId="0" applyFill="1" applyBorder="1"/>
    <xf numFmtId="0" fontId="0" fillId="42" borderId="0" xfId="0" applyFill="1" applyBorder="1"/>
    <xf numFmtId="0" fontId="0" fillId="43" borderId="0" xfId="0" applyFill="1" applyBorder="1"/>
    <xf numFmtId="0" fontId="0" fillId="44" borderId="0" xfId="0" applyFill="1" applyBorder="1"/>
    <xf numFmtId="0" fontId="0" fillId="45" borderId="0" xfId="0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0" fillId="0" borderId="0" xfId="0"/>
    <xf numFmtId="0" fontId="0" fillId="0" borderId="0" xfId="0"/>
    <xf numFmtId="14" fontId="0" fillId="0" borderId="0" xfId="0" applyNumberFormat="1"/>
    <xf numFmtId="0" fontId="24" fillId="0" borderId="0" xfId="0" applyFont="1" applyFill="1" applyAlignment="1"/>
    <xf numFmtId="0" fontId="0" fillId="0" borderId="0" xfId="0"/>
    <xf numFmtId="0" fontId="21" fillId="0" borderId="0" xfId="0" applyFont="1"/>
    <xf numFmtId="18" fontId="0" fillId="0" borderId="0" xfId="0" applyNumberFormat="1"/>
    <xf numFmtId="0" fontId="28" fillId="0" borderId="0" xfId="0" applyFont="1"/>
    <xf numFmtId="0" fontId="20" fillId="0" borderId="0" xfId="0" applyFont="1" applyAlignment="1">
      <alignment horizontal="center" vertical="top" wrapText="1"/>
    </xf>
    <xf numFmtId="0" fontId="0" fillId="48" borderId="0" xfId="0" applyFill="1"/>
    <xf numFmtId="0" fontId="29" fillId="48" borderId="0" xfId="0" applyFont="1" applyFill="1"/>
    <xf numFmtId="0" fontId="31" fillId="6" borderId="0" xfId="0" applyFont="1" applyFill="1" applyAlignment="1">
      <alignment horizontal="left" vertical="center"/>
    </xf>
    <xf numFmtId="0" fontId="31" fillId="28" borderId="0" xfId="0" applyFont="1" applyFill="1" applyAlignment="1">
      <alignment horizontal="left" vertical="center"/>
    </xf>
    <xf numFmtId="0" fontId="0" fillId="0" borderId="7" xfId="0" applyBorder="1"/>
    <xf numFmtId="0" fontId="31" fillId="31" borderId="8" xfId="0" applyFont="1" applyFill="1" applyBorder="1" applyAlignment="1">
      <alignment horizontal="center" vertical="center"/>
    </xf>
    <xf numFmtId="0" fontId="0" fillId="0" borderId="9" xfId="0" applyBorder="1"/>
    <xf numFmtId="0" fontId="20" fillId="28" borderId="10" xfId="0" applyFont="1" applyFill="1" applyBorder="1" applyAlignment="1">
      <alignment horizontal="center" vertical="top" wrapText="1"/>
    </xf>
    <xf numFmtId="0" fontId="20" fillId="28" borderId="11" xfId="0" applyFont="1" applyFill="1" applyBorder="1" applyAlignment="1">
      <alignment vertical="top" wrapText="1"/>
    </xf>
    <xf numFmtId="0" fontId="31" fillId="28" borderId="12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/>
    </xf>
    <xf numFmtId="0" fontId="0" fillId="0" borderId="13" xfId="0" applyBorder="1"/>
    <xf numFmtId="166" fontId="0" fillId="0" borderId="13" xfId="0" applyNumberFormat="1" applyBorder="1"/>
    <xf numFmtId="166" fontId="0" fillId="0" borderId="0" xfId="0" applyNumberFormat="1"/>
    <xf numFmtId="0" fontId="27" fillId="0" borderId="0" xfId="0" applyFont="1"/>
    <xf numFmtId="0" fontId="27" fillId="0" borderId="12" xfId="0" applyFont="1" applyFill="1" applyBorder="1"/>
    <xf numFmtId="0" fontId="27" fillId="0" borderId="9" xfId="0" applyFont="1" applyBorder="1"/>
    <xf numFmtId="0" fontId="32" fillId="0" borderId="10" xfId="0" applyFont="1" applyBorder="1" applyAlignment="1">
      <alignment horizontal="left" vertical="center"/>
    </xf>
    <xf numFmtId="0" fontId="32" fillId="0" borderId="11" xfId="0" applyFont="1" applyBorder="1" applyAlignment="1">
      <alignment horizontal="left" vertical="center"/>
    </xf>
    <xf numFmtId="0" fontId="32" fillId="0" borderId="10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9" fontId="32" fillId="0" borderId="10" xfId="0" applyNumberFormat="1" applyFont="1" applyBorder="1" applyAlignment="1">
      <alignment horizontal="center" vertical="center"/>
    </xf>
    <xf numFmtId="0" fontId="32" fillId="0" borderId="10" xfId="0" applyFont="1" applyBorder="1" applyAlignment="1">
      <alignment horizontal="right" vertical="center"/>
    </xf>
    <xf numFmtId="0" fontId="32" fillId="0" borderId="10" xfId="0" applyNumberFormat="1" applyFont="1" applyBorder="1" applyAlignment="1">
      <alignment horizontal="left" vertical="center"/>
    </xf>
    <xf numFmtId="166" fontId="32" fillId="0" borderId="10" xfId="0" applyNumberFormat="1" applyFont="1" applyBorder="1" applyAlignment="1">
      <alignment horizontal="right" vertical="center"/>
    </xf>
    <xf numFmtId="167" fontId="32" fillId="0" borderId="10" xfId="0" applyNumberFormat="1" applyFont="1" applyBorder="1" applyAlignment="1">
      <alignment horizontal="right" vertical="center"/>
    </xf>
    <xf numFmtId="0" fontId="34" fillId="0" borderId="13" xfId="0" applyFont="1" applyBorder="1" applyAlignment="1"/>
    <xf numFmtId="0" fontId="35" fillId="48" borderId="0" xfId="0" applyFont="1" applyFill="1" applyAlignment="1">
      <alignment vertical="center"/>
    </xf>
    <xf numFmtId="0" fontId="33" fillId="45" borderId="10" xfId="0" applyFont="1" applyFill="1" applyBorder="1" applyAlignment="1">
      <alignment horizontal="center" vertical="center"/>
    </xf>
    <xf numFmtId="0" fontId="32" fillId="35" borderId="10" xfId="0" applyFont="1" applyFill="1" applyBorder="1" applyAlignment="1">
      <alignment horizontal="left" vertical="center"/>
    </xf>
    <xf numFmtId="0" fontId="36" fillId="0" borderId="10" xfId="0" applyFont="1" applyBorder="1" applyAlignment="1">
      <alignment horizontal="center" vertical="center"/>
    </xf>
    <xf numFmtId="0" fontId="37" fillId="0" borderId="0" xfId="0" applyFont="1" applyBorder="1"/>
    <xf numFmtId="0" fontId="14" fillId="0" borderId="0" xfId="0" applyFont="1" applyAlignment="1">
      <alignment horizontal="center"/>
    </xf>
    <xf numFmtId="0" fontId="1" fillId="3" borderId="1" xfId="1" applyFill="1" applyAlignment="1">
      <alignment horizontal="right" vertical="center"/>
    </xf>
    <xf numFmtId="0" fontId="1" fillId="3" borderId="1" xfId="1" applyFill="1" applyAlignment="1" applyProtection="1">
      <alignment horizontal="left" vertical="center"/>
      <protection locked="0"/>
    </xf>
    <xf numFmtId="0" fontId="11" fillId="0" borderId="0" xfId="0" applyFont="1" applyAlignment="1">
      <alignment horizontal="center"/>
    </xf>
    <xf numFmtId="0" fontId="11" fillId="0" borderId="4" xfId="0" applyFont="1" applyBorder="1" applyAlignment="1">
      <alignment horizontal="center"/>
    </xf>
    <xf numFmtId="0" fontId="2" fillId="0" borderId="0" xfId="2"/>
    <xf numFmtId="0" fontId="0" fillId="0" borderId="0" xfId="0"/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Alignment="1">
      <alignment horizontal="center"/>
    </xf>
  </cellXfs>
  <cellStyles count="202"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199" builtinId="9" hidden="1"/>
    <cellStyle name="Followed Hyperlink" xfId="197" builtinId="9" hidden="1"/>
    <cellStyle name="Followed Hyperlink" xfId="195" builtinId="9" hidden="1"/>
    <cellStyle name="Followed Hyperlink" xfId="193" builtinId="9" hidden="1"/>
    <cellStyle name="Followed Hyperlink" xfId="191" builtinId="9" hidden="1"/>
    <cellStyle name="Followed Hyperlink" xfId="189" builtinId="9" hidden="1"/>
    <cellStyle name="Followed Hyperlink" xfId="187" builtinId="9" hidden="1"/>
    <cellStyle name="Followed Hyperlink" xfId="185" builtinId="9" hidden="1"/>
    <cellStyle name="Followed Hyperlink" xfId="183" builtinId="9" hidden="1"/>
    <cellStyle name="Followed Hyperlink" xfId="181" builtinId="9" hidden="1"/>
    <cellStyle name="Followed Hyperlink" xfId="179" builtinId="9" hidden="1"/>
    <cellStyle name="Followed Hyperlink" xfId="177" builtinId="9" hidden="1"/>
    <cellStyle name="Followed Hyperlink" xfId="175" builtinId="9" hidden="1"/>
    <cellStyle name="Followed Hyperlink" xfId="173" builtinId="9" hidden="1"/>
    <cellStyle name="Followed Hyperlink" xfId="171" builtinId="9" hidden="1"/>
    <cellStyle name="Followed Hyperlink" xfId="169" builtinId="9" hidden="1"/>
    <cellStyle name="Followed Hyperlink" xfId="167" builtinId="9" hidden="1"/>
    <cellStyle name="Followed Hyperlink" xfId="165" builtinId="9" hidden="1"/>
    <cellStyle name="Followed Hyperlink" xfId="163" builtinId="9" hidden="1"/>
    <cellStyle name="Followed Hyperlink" xfId="161" builtinId="9" hidden="1"/>
    <cellStyle name="Followed Hyperlink" xfId="159" builtinId="9" hidden="1"/>
    <cellStyle name="Followed Hyperlink" xfId="157" builtinId="9" hidden="1"/>
    <cellStyle name="Followed Hyperlink" xfId="155" builtinId="9" hidden="1"/>
    <cellStyle name="Followed Hyperlink" xfId="153" builtinId="9" hidden="1"/>
    <cellStyle name="Followed Hyperlink" xfId="151" builtinId="9" hidden="1"/>
    <cellStyle name="Followed Hyperlink" xfId="149" builtinId="9" hidden="1"/>
    <cellStyle name="Followed Hyperlink" xfId="147" builtinId="9" hidden="1"/>
    <cellStyle name="Followed Hyperlink" xfId="145" builtinId="9" hidden="1"/>
    <cellStyle name="Followed Hyperlink" xfId="143" builtinId="9" hidden="1"/>
    <cellStyle name="Followed Hyperlink" xfId="141" builtinId="9" hidden="1"/>
    <cellStyle name="Followed Hyperlink" xfId="139" builtinId="9" hidden="1"/>
    <cellStyle name="Followed Hyperlink" xfId="137" builtinId="9" hidden="1"/>
    <cellStyle name="Followed Hyperlink" xfId="135" builtinId="9" hidden="1"/>
    <cellStyle name="Followed Hyperlink" xfId="133" builtinId="9" hidden="1"/>
    <cellStyle name="Followed Hyperlink" xfId="131" builtinId="9" hidden="1"/>
    <cellStyle name="Followed Hyperlink" xfId="129" builtinId="9" hidden="1"/>
    <cellStyle name="Followed Hyperlink" xfId="127" builtinId="9" hidden="1"/>
    <cellStyle name="Followed Hyperlink" xfId="125" builtinId="9" hidden="1"/>
    <cellStyle name="Followed Hyperlink" xfId="123" builtinId="9" hidden="1"/>
    <cellStyle name="Followed Hyperlink" xfId="121" builtinId="9" hidden="1"/>
    <cellStyle name="Followed Hyperlink" xfId="119" builtinId="9" hidden="1"/>
    <cellStyle name="Followed Hyperlink" xfId="117" builtinId="9" hidden="1"/>
    <cellStyle name="Followed Hyperlink" xfId="115" builtinId="9" hidden="1"/>
    <cellStyle name="Followed Hyperlink" xfId="113" builtinId="9" hidden="1"/>
    <cellStyle name="Followed Hyperlink" xfId="111" builtinId="9" hidden="1"/>
    <cellStyle name="Followed Hyperlink" xfId="109" builtinId="9" hidden="1"/>
    <cellStyle name="Followed Hyperlink" xfId="107" builtinId="9" hidden="1"/>
    <cellStyle name="Followed Hyperlink" xfId="105" builtinId="9" hidden="1"/>
    <cellStyle name="Followed Hyperlink" xfId="103" builtinId="9" hidden="1"/>
    <cellStyle name="Followed Hyperlink" xfId="101" builtinId="9" hidden="1"/>
    <cellStyle name="Followed Hyperlink" xfId="99" builtinId="9" hidden="1"/>
    <cellStyle name="Followed Hyperlink" xfId="97" builtinId="9" hidden="1"/>
    <cellStyle name="Followed Hyperlink" xfId="95" builtinId="9" hidden="1"/>
    <cellStyle name="Followed Hyperlink" xfId="93" builtinId="9" hidden="1"/>
    <cellStyle name="Followed Hyperlink" xfId="91" builtinId="9" hidden="1"/>
    <cellStyle name="Followed Hyperlink" xfId="89" builtinId="9" hidden="1"/>
    <cellStyle name="Followed Hyperlink" xfId="87" builtinId="9" hidden="1"/>
    <cellStyle name="Followed Hyperlink" xfId="85" builtinId="9" hidden="1"/>
    <cellStyle name="Followed Hyperlink" xfId="83" builtinId="9" hidden="1"/>
    <cellStyle name="Followed Hyperlink" xfId="81" builtinId="9" hidden="1"/>
    <cellStyle name="Followed Hyperlink" xfId="79" builtinId="9" hidden="1"/>
    <cellStyle name="Followed Hyperlink" xfId="77" builtinId="9" hidden="1"/>
    <cellStyle name="Followed Hyperlink" xfId="75" builtinId="9" hidden="1"/>
    <cellStyle name="Followed Hyperlink" xfId="73" builtinId="9" hidden="1"/>
    <cellStyle name="Followed Hyperlink" xfId="71" builtinId="9" hidden="1"/>
    <cellStyle name="Followed Hyperlink" xfId="69" builtinId="9" hidden="1"/>
    <cellStyle name="Followed Hyperlink" xfId="67" builtinId="9" hidden="1"/>
    <cellStyle name="Followed Hyperlink" xfId="65" builtinId="9" hidden="1"/>
    <cellStyle name="Followed Hyperlink" xfId="63" builtinId="9" hidden="1"/>
    <cellStyle name="Followed Hyperlink" xfId="61" builtinId="9" hidden="1"/>
    <cellStyle name="Followed Hyperlink" xfId="59" builtinId="9" hidden="1"/>
    <cellStyle name="Followed Hyperlink" xfId="57" builtinId="9" hidden="1"/>
    <cellStyle name="Followed Hyperlink" xfId="55" builtinId="9" hidden="1"/>
    <cellStyle name="Followed Hyperlink" xfId="53" builtinId="9" hidden="1"/>
    <cellStyle name="Followed Hyperlink" xfId="51" builtinId="9" hidden="1"/>
    <cellStyle name="Followed Hyperlink" xfId="49" builtinId="9" hidden="1"/>
    <cellStyle name="Followed Hyperlink" xfId="47" builtinId="9" hidden="1"/>
    <cellStyle name="Followed Hyperlink" xfId="45" builtinId="9" hidden="1"/>
    <cellStyle name="Followed Hyperlink" xfId="43" builtinId="9" hidden="1"/>
    <cellStyle name="Followed Hyperlink" xfId="41" builtinId="9" hidden="1"/>
    <cellStyle name="Followed Hyperlink" xfId="39" builtinId="9" hidden="1"/>
    <cellStyle name="Followed Hyperlink" xfId="37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6" builtinId="9" hidden="1"/>
    <cellStyle name="Followed Hyperlink" xfId="35" builtinId="9" hidden="1"/>
    <cellStyle name="Followed Hyperlink" xfId="31" builtinId="9" hidden="1"/>
    <cellStyle name="Followed Hyperlink" xfId="27" builtinId="9" hidden="1"/>
    <cellStyle name="Followed Hyperlink" xfId="23" builtinId="9" hidden="1"/>
    <cellStyle name="Followed Hyperlink" xfId="19" builtinId="9" hidden="1"/>
    <cellStyle name="Followed Hyperlink" xfId="15" builtinId="9" hidden="1"/>
    <cellStyle name="Followed Hyperlink" xfId="9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1" builtinId="9" hidden="1"/>
    <cellStyle name="Followed Hyperlink" xfId="7" builtinId="9" hidden="1"/>
    <cellStyle name="Followed Hyperlink" xfId="8" builtinId="9" hidden="1"/>
    <cellStyle name="Followed Hyperlink" xfId="6" builtinId="9" hidden="1"/>
    <cellStyle name="Followed Hyperlink" xfId="5" builtinId="9" hidden="1"/>
    <cellStyle name="Heading 1" xfId="1" builtinId="16"/>
    <cellStyle name="Hyperlink" xfId="2" builtinId="8"/>
    <cellStyle name="Normal" xfId="0" builtinId="0"/>
    <cellStyle name="Normal 3" xfId="4" xr:uid="{00000000-0005-0000-0000-0000C7000000}"/>
    <cellStyle name="Percent 2" xfId="3" xr:uid="{00000000-0005-0000-0000-0000C8000000}"/>
    <cellStyle name="標準 2" xfId="201" xr:uid="{9FC4F80B-DBAD-4E48-A9CC-21D689FF73CA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color rgb="FF9C0006"/>
      </font>
    </dxf>
  </dxfs>
  <tableStyles count="0" defaultTableStyle="TableStyleMedium2" defaultPivotStyle="PivotStyleLight16"/>
  <colors>
    <mruColors>
      <color rgb="FFA6F020"/>
      <color rgb="FFA7E8FF"/>
      <color rgb="FF4472C4"/>
      <color rgb="FFC1EFFF"/>
      <color rgb="FFFF6699"/>
      <color rgb="FFB3F8FF"/>
      <color rgb="FF6DD9FF"/>
      <color rgb="FFDCF9A9"/>
      <color rgb="FFF0FFDD"/>
      <color rgb="FFF0F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 /><Relationship Id="rId3" Type="http://schemas.openxmlformats.org/officeDocument/2006/relationships/worksheet" Target="worksheets/sheet3.xml" /><Relationship Id="rId7" Type="http://schemas.openxmlformats.org/officeDocument/2006/relationships/theme" Target="theme/theme1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microsoft.com/office/2006/relationships/vbaProject" Target="vbaProject.bin" /><Relationship Id="rId5" Type="http://schemas.openxmlformats.org/officeDocument/2006/relationships/worksheet" Target="worksheets/sheet5.xml" /><Relationship Id="rId10" Type="http://schemas.openxmlformats.org/officeDocument/2006/relationships/calcChain" Target="calcChain.xml" /><Relationship Id="rId4" Type="http://schemas.openxmlformats.org/officeDocument/2006/relationships/worksheet" Target="worksheets/sheet4.xml" /><Relationship Id="rId9" Type="http://schemas.openxmlformats.org/officeDocument/2006/relationships/sharedStrings" Target="sharedStrings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GanttDashboardTemplate!$D$9:$D$12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GanttDashboardTemplate!$E$9:$E$12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GanttDashboardTemplate!$X$3:$Y$3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 /><Relationship Id="rId2" Type="http://schemas.openxmlformats.org/officeDocument/2006/relationships/image" Target="../media/image1.png" /><Relationship Id="rId1" Type="http://schemas.openxmlformats.org/officeDocument/2006/relationships/hyperlink" Target="https://www.ganttexcel.com/?utm_source=xlcustlogo&amp;utm_medium=customer" TargetMode="External" 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5</xdr:col>
          <xdr:colOff>676275</xdr:colOff>
          <xdr:row>1</xdr:row>
          <xdr:rowOff>238125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5</xdr:row>
      <xdr:rowOff>50800</xdr:rowOff>
    </xdr:from>
    <xdr:to>
      <xdr:col>37</xdr:col>
      <xdr:colOff>708025</xdr:colOff>
      <xdr:row>6</xdr:row>
      <xdr:rowOff>0</xdr:rowOff>
    </xdr:to>
    <xdr:sp macro="" textlink="">
      <xdr:nvSpPr>
        <xdr:cNvPr id="2" name="S_Mo_6/28/2021">
          <a:extLst>
            <a:ext uri="{FF2B5EF4-FFF2-40B4-BE49-F238E27FC236}">
              <a16:creationId xmlns:a16="http://schemas.microsoft.com/office/drawing/2014/main" id="{87B618CE-1411-4A4C-A425-74407AE0E3D5}"/>
            </a:ext>
          </a:extLst>
        </xdr:cNvPr>
        <xdr:cNvSpPr/>
      </xdr:nvSpPr>
      <xdr:spPr>
        <a:xfrm>
          <a:off x="9734550" y="50800"/>
          <a:ext cx="2136775" cy="254000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4472C4"/>
              </a:solidFill>
            </a:rPr>
            <a:t>June-2021</a:t>
          </a:r>
        </a:p>
      </xdr:txBody>
    </xdr:sp>
    <xdr:clientData/>
  </xdr:twoCellAnchor>
  <xdr:twoCellAnchor>
    <xdr:from>
      <xdr:col>38</xdr:col>
      <xdr:colOff>0</xdr:colOff>
      <xdr:row>5</xdr:row>
      <xdr:rowOff>50800</xdr:rowOff>
    </xdr:from>
    <xdr:to>
      <xdr:col>68</xdr:col>
      <xdr:colOff>708025</xdr:colOff>
      <xdr:row>6</xdr:row>
      <xdr:rowOff>0</xdr:rowOff>
    </xdr:to>
    <xdr:sp macro="" textlink="">
      <xdr:nvSpPr>
        <xdr:cNvPr id="3" name="S_Mo_7/1/2021">
          <a:extLst>
            <a:ext uri="{FF2B5EF4-FFF2-40B4-BE49-F238E27FC236}">
              <a16:creationId xmlns:a16="http://schemas.microsoft.com/office/drawing/2014/main" id="{B373CD5B-679C-498F-B920-CDB378210F66}"/>
            </a:ext>
          </a:extLst>
        </xdr:cNvPr>
        <xdr:cNvSpPr/>
      </xdr:nvSpPr>
      <xdr:spPr>
        <a:xfrm>
          <a:off x="11877675" y="50800"/>
          <a:ext cx="22139275" cy="254000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4472C4"/>
              </a:solidFill>
            </a:rPr>
            <a:t>July-2021</a:t>
          </a:r>
        </a:p>
      </xdr:txBody>
    </xdr:sp>
    <xdr:clientData/>
  </xdr:twoCellAnchor>
  <xdr:twoCellAnchor>
    <xdr:from>
      <xdr:col>69</xdr:col>
      <xdr:colOff>0</xdr:colOff>
      <xdr:row>5</xdr:row>
      <xdr:rowOff>50800</xdr:rowOff>
    </xdr:from>
    <xdr:to>
      <xdr:col>99</xdr:col>
      <xdr:colOff>708025</xdr:colOff>
      <xdr:row>6</xdr:row>
      <xdr:rowOff>0</xdr:rowOff>
    </xdr:to>
    <xdr:sp macro="" textlink="">
      <xdr:nvSpPr>
        <xdr:cNvPr id="4" name="S_Mo_8/1/2021">
          <a:extLst>
            <a:ext uri="{FF2B5EF4-FFF2-40B4-BE49-F238E27FC236}">
              <a16:creationId xmlns:a16="http://schemas.microsoft.com/office/drawing/2014/main" id="{3C4EBCCC-7327-48EF-BD64-71B2B5A11182}"/>
            </a:ext>
          </a:extLst>
        </xdr:cNvPr>
        <xdr:cNvSpPr/>
      </xdr:nvSpPr>
      <xdr:spPr>
        <a:xfrm>
          <a:off x="34023300" y="50800"/>
          <a:ext cx="22139275" cy="254000"/>
        </a:xfrm>
        <a:prstGeom prst="round2Same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4472C4"/>
              </a:solidFill>
            </a:rPr>
            <a:t>August-2021</a:t>
          </a:r>
        </a:p>
      </xdr:txBody>
    </xdr:sp>
    <xdr:clientData/>
  </xdr:twoCellAnchor>
  <xdr:twoCellAnchor>
    <xdr:from>
      <xdr:col>35</xdr:col>
      <xdr:colOff>12700</xdr:colOff>
      <xdr:row>9</xdr:row>
      <xdr:rowOff>38862</xdr:rowOff>
    </xdr:from>
    <xdr:to>
      <xdr:col>46</xdr:col>
      <xdr:colOff>234950</xdr:colOff>
      <xdr:row>9</xdr:row>
      <xdr:rowOff>189738</xdr:rowOff>
    </xdr:to>
    <xdr:sp macro="" textlink="">
      <xdr:nvSpPr>
        <xdr:cNvPr id="5" name="S_TE_1">
          <a:extLst>
            <a:ext uri="{FF2B5EF4-FFF2-40B4-BE49-F238E27FC236}">
              <a16:creationId xmlns:a16="http://schemas.microsoft.com/office/drawing/2014/main" id="{39B90DCB-A758-4C00-86A4-FA2BE2A63E45}"/>
            </a:ext>
          </a:extLst>
        </xdr:cNvPr>
        <xdr:cNvSpPr/>
      </xdr:nvSpPr>
      <xdr:spPr>
        <a:xfrm>
          <a:off x="9747250" y="1029462"/>
          <a:ext cx="2946400" cy="150876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12700</xdr:colOff>
      <xdr:row>9</xdr:row>
      <xdr:rowOff>0</xdr:rowOff>
    </xdr:from>
    <xdr:to>
      <xdr:col>35</xdr:col>
      <xdr:colOff>13970</xdr:colOff>
      <xdr:row>10</xdr:row>
      <xdr:rowOff>0</xdr:rowOff>
    </xdr:to>
    <xdr:sp macro="" textlink="">
      <xdr:nvSpPr>
        <xdr:cNvPr id="8" name="S_Today_LineLeft">
          <a:extLst>
            <a:ext uri="{FF2B5EF4-FFF2-40B4-BE49-F238E27FC236}">
              <a16:creationId xmlns:a16="http://schemas.microsoft.com/office/drawing/2014/main" id="{63A024FC-C0CC-4EA5-8E6D-D06969F4365A}"/>
            </a:ext>
          </a:extLst>
        </xdr:cNvPr>
        <xdr:cNvSpPr/>
      </xdr:nvSpPr>
      <xdr:spPr>
        <a:xfrm>
          <a:off x="9747250" y="990600"/>
          <a:ext cx="1270" cy="22860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234950</xdr:colOff>
      <xdr:row>9</xdr:row>
      <xdr:rowOff>0</xdr:rowOff>
    </xdr:from>
    <xdr:to>
      <xdr:col>35</xdr:col>
      <xdr:colOff>236220</xdr:colOff>
      <xdr:row>10</xdr:row>
      <xdr:rowOff>0</xdr:rowOff>
    </xdr:to>
    <xdr:sp macro="" textlink="">
      <xdr:nvSpPr>
        <xdr:cNvPr id="9" name="S_Today_LineRight">
          <a:extLst>
            <a:ext uri="{FF2B5EF4-FFF2-40B4-BE49-F238E27FC236}">
              <a16:creationId xmlns:a16="http://schemas.microsoft.com/office/drawing/2014/main" id="{6E9AE89D-F45A-42CA-AD65-9E45323201EF}"/>
            </a:ext>
          </a:extLst>
        </xdr:cNvPr>
        <xdr:cNvSpPr/>
      </xdr:nvSpPr>
      <xdr:spPr>
        <a:xfrm>
          <a:off x="9969500" y="990600"/>
          <a:ext cx="1270" cy="228600"/>
        </a:xfrm>
        <a:prstGeom prst="rect">
          <a:avLst/>
        </a:prstGeom>
        <a:ln w="1270"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9</xdr:row>
      <xdr:rowOff>50800</xdr:rowOff>
    </xdr:from>
    <xdr:to>
      <xdr:col>18</xdr:col>
      <xdr:colOff>403225</xdr:colOff>
      <xdr:row>15</xdr:row>
      <xdr:rowOff>139700</xdr:rowOff>
    </xdr:to>
    <xdr:sp macro="" textlink="">
      <xdr:nvSpPr>
        <xdr:cNvPr id="10" name="SMacros">
          <a:extLst>
            <a:ext uri="{FF2B5EF4-FFF2-40B4-BE49-F238E27FC236}">
              <a16:creationId xmlns:a16="http://schemas.microsoft.com/office/drawing/2014/main" id="{B534E3F8-E07D-439F-AB6A-CAD8FB75FFA4}"/>
            </a:ext>
          </a:extLst>
        </xdr:cNvPr>
        <xdr:cNvSpPr/>
      </xdr:nvSpPr>
      <xdr:spPr>
        <a:xfrm>
          <a:off x="809625" y="1041400"/>
          <a:ext cx="5080000" cy="1270000"/>
        </a:xfrm>
        <a:prstGeom prst="round2Same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>
              <a:solidFill>
                <a:srgbClr val="FFFFFF"/>
              </a:solidFill>
            </a:rPr>
            <a:t>Automation Off - Enable Macros to Continue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111518</xdr:colOff>
      <xdr:row>2</xdr:row>
      <xdr:rowOff>57150</xdr:rowOff>
    </xdr:from>
    <xdr:ext cx="1668981" cy="9429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/>
      </xdr:blipFill>
      <xdr:spPr>
        <a:xfrm>
          <a:off x="178193" y="123825"/>
          <a:ext cx="1668981" cy="942975"/>
        </a:xfrm>
        <a:prstGeom prst="rect">
          <a:avLst/>
        </a:prstGeom>
      </xdr:spPr>
    </xdr:pic>
    <xdr:clientData/>
  </xdr:oneCellAnchor>
  <xdr:twoCellAnchor editAs="oneCell">
    <xdr:from>
      <xdr:col>4</xdr:col>
      <xdr:colOff>28575</xdr:colOff>
      <xdr:row>13</xdr:row>
      <xdr:rowOff>180975</xdr:rowOff>
    </xdr:from>
    <xdr:to>
      <xdr:col>20</xdr:col>
      <xdr:colOff>9525</xdr:colOff>
      <xdr:row>20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0075" y="2143125"/>
          <a:ext cx="9686925" cy="1200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H3" totalsRowShown="0" headerRowDxfId="33" dataDxfId="32" tableBorderDxfId="31" headerRowCellStyle="Normal 3" dataCellStyle="Percent 2">
  <autoFilter ref="AD2:BH3" xr:uid="{00000000-0009-0000-0100-000001000000}"/>
  <tableColumns count="31">
    <tableColumn id="1" xr3:uid="{00000000-0010-0000-0000-000001000000}" name="tType" dataDxfId="30"/>
    <tableColumn id="2" xr3:uid="{00000000-0010-0000-0000-000002000000}" name="WBS" dataDxfId="29" dataCellStyle="Normal 3"/>
    <tableColumn id="3" xr3:uid="{00000000-0010-0000-0000-000003000000}" name="Task" dataDxfId="28" dataCellStyle="Normal 3"/>
    <tableColumn id="32" xr3:uid="{F90A5217-3580-4778-8C30-2A2084C092C5}" name="Priority" dataDxfId="27" dataCellStyle="Normal 3"/>
    <tableColumn id="31" xr3:uid="{0FE90040-082A-4721-92AE-85DD33035AC7}" name="Status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Relationship Id="rId5" Type="http://schemas.openxmlformats.org/officeDocument/2006/relationships/table" Target="../tables/table1.xml" /><Relationship Id="rId4" Type="http://schemas.openxmlformats.org/officeDocument/2006/relationships/ctrlProp" Target="../ctrlProps/ctrlProp1.xml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 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custd&amp;utm_medium=cust" TargetMode="External" /><Relationship Id="rId7" Type="http://schemas.openxmlformats.org/officeDocument/2006/relationships/drawing" Target="../drawings/drawing3.xml" /><Relationship Id="rId2" Type="http://schemas.openxmlformats.org/officeDocument/2006/relationships/hyperlink" Target="https://www.ganttexcel.com/documentation/?utm_source=xlcustd&amp;utm_medium=cust" TargetMode="External" /><Relationship Id="rId1" Type="http://schemas.openxmlformats.org/officeDocument/2006/relationships/hyperlink" Target="https://www.ganttexcel.com/documentation/enable-macros/?utm_source=xlcustem&amp;utm_medium=cust" TargetMode="External" /><Relationship Id="rId6" Type="http://schemas.openxmlformats.org/officeDocument/2006/relationships/printerSettings" Target="../printerSettings/printerSettings2.bin" /><Relationship Id="rId5" Type="http://schemas.openxmlformats.org/officeDocument/2006/relationships/hyperlink" Target="https://www.ganttexcel.com/documentation/enable-macros/?utm_source=xlcustem&amp;utm_medium=cust" TargetMode="External" /><Relationship Id="rId4" Type="http://schemas.openxmlformats.org/officeDocument/2006/relationships/hyperlink" Target="https://www.ganttexcel.com/how-to-create-a-gantt-chart-in-excel/?utm_source=xlcustd&amp;utm_medium=cust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B97B-BAC1-45D5-BFC9-68D361DD0A14}">
  <sheetPr codeName="GST"/>
  <dimension ref="A1:LW10"/>
  <sheetViews>
    <sheetView topLeftCell="CB1" workbookViewId="0">
      <selection activeCell="DD1" sqref="DD1"/>
    </sheetView>
  </sheetViews>
  <sheetFormatPr defaultColWidth="9.14453125" defaultRowHeight="15" x14ac:dyDescent="0.2"/>
  <cols>
    <col min="1" max="1" width="9.14453125" style="94"/>
    <col min="2" max="2" width="9.14453125" style="107"/>
    <col min="3" max="11" width="9.14453125" style="94"/>
    <col min="12" max="12" width="14.796875" style="131" customWidth="1"/>
    <col min="13" max="13" width="14.796875" style="132" customWidth="1"/>
    <col min="14" max="14" width="12.9140625" style="94" customWidth="1"/>
    <col min="15" max="19" width="9.14453125" style="94"/>
    <col min="20" max="20" width="12.64453125" style="94" customWidth="1"/>
    <col min="21" max="27" width="9.14453125" style="94"/>
    <col min="28" max="28" width="19.7734375" style="94" customWidth="1"/>
    <col min="29" max="45" width="9.14453125" style="94"/>
    <col min="46" max="46" width="9.14453125" style="132"/>
    <col min="47" max="64" width="9.14453125" style="94"/>
    <col min="65" max="65" width="9.14453125" style="99"/>
    <col min="66" max="71" width="9.14453125" style="102"/>
    <col min="72" max="102" width="9.14453125" style="94"/>
    <col min="103" max="103" width="9.14453125" style="104"/>
    <col min="104" max="313" width="9.14453125" style="94"/>
    <col min="314" max="325" width="9.14453125" style="104"/>
    <col min="326" max="16384" width="9.14453125" style="94"/>
  </cols>
  <sheetData>
    <row r="1" spans="1:335" x14ac:dyDescent="0.2">
      <c r="A1" s="53" t="s">
        <v>165</v>
      </c>
      <c r="B1" s="53" t="s">
        <v>179</v>
      </c>
      <c r="C1" s="51" t="s">
        <v>63</v>
      </c>
      <c r="D1" s="51" t="s">
        <v>94</v>
      </c>
      <c r="E1" s="51" t="s">
        <v>66</v>
      </c>
      <c r="F1" s="51" t="s">
        <v>74</v>
      </c>
      <c r="G1" s="51" t="s">
        <v>7</v>
      </c>
      <c r="H1" s="51" t="s">
        <v>9</v>
      </c>
      <c r="I1" s="51" t="s">
        <v>76</v>
      </c>
      <c r="J1" s="51" t="s">
        <v>75</v>
      </c>
      <c r="K1" s="51" t="s">
        <v>104</v>
      </c>
      <c r="L1" s="51" t="s">
        <v>181</v>
      </c>
      <c r="M1" s="51" t="s">
        <v>182</v>
      </c>
      <c r="N1" s="51" t="s">
        <v>96</v>
      </c>
      <c r="O1" s="51" t="s">
        <v>97</v>
      </c>
      <c r="P1" s="51" t="s">
        <v>72</v>
      </c>
      <c r="Q1" s="51" t="s">
        <v>71</v>
      </c>
      <c r="R1" s="51" t="s">
        <v>70</v>
      </c>
      <c r="S1" s="51" t="s">
        <v>69</v>
      </c>
      <c r="T1" s="51" t="s">
        <v>153</v>
      </c>
      <c r="U1" s="51" t="s">
        <v>154</v>
      </c>
      <c r="V1" s="51" t="s">
        <v>155</v>
      </c>
      <c r="W1" s="51" t="s">
        <v>156</v>
      </c>
      <c r="X1" s="51" t="s">
        <v>157</v>
      </c>
      <c r="Y1" s="51" t="s">
        <v>62</v>
      </c>
      <c r="Z1" s="51" t="s">
        <v>61</v>
      </c>
      <c r="AA1" s="51" t="s">
        <v>64</v>
      </c>
      <c r="AB1" s="51" t="s">
        <v>168</v>
      </c>
      <c r="AC1" s="51" t="s">
        <v>73</v>
      </c>
      <c r="AD1" s="51" t="s">
        <v>68</v>
      </c>
      <c r="AE1" s="51" t="s">
        <v>57</v>
      </c>
      <c r="AF1" s="51" t="s">
        <v>56</v>
      </c>
      <c r="AG1" s="51" t="s">
        <v>55</v>
      </c>
      <c r="AH1" s="51" t="s">
        <v>54</v>
      </c>
      <c r="AI1" s="51" t="s">
        <v>53</v>
      </c>
      <c r="AJ1" s="51" t="s">
        <v>52</v>
      </c>
      <c r="AK1" s="51" t="s">
        <v>51</v>
      </c>
      <c r="AL1" s="51" t="s">
        <v>99</v>
      </c>
      <c r="AM1" s="51" t="s">
        <v>100</v>
      </c>
      <c r="AN1" s="51" t="s">
        <v>178</v>
      </c>
      <c r="AO1" s="53" t="s">
        <v>114</v>
      </c>
      <c r="AP1" s="53" t="s">
        <v>115</v>
      </c>
      <c r="AQ1" s="53" t="s">
        <v>116</v>
      </c>
      <c r="AR1" s="53" t="s">
        <v>117</v>
      </c>
      <c r="AS1" s="53" t="s">
        <v>123</v>
      </c>
      <c r="AT1" s="53" t="s">
        <v>183</v>
      </c>
      <c r="AU1" s="53" t="s">
        <v>118</v>
      </c>
      <c r="AV1" s="53" t="s">
        <v>119</v>
      </c>
      <c r="AW1" s="53" t="s">
        <v>120</v>
      </c>
      <c r="AX1" s="53" t="s">
        <v>131</v>
      </c>
      <c r="AY1" s="53" t="s">
        <v>121</v>
      </c>
      <c r="AZ1" s="53" t="s">
        <v>122</v>
      </c>
      <c r="BA1" s="53" t="s">
        <v>149</v>
      </c>
      <c r="BB1" s="53" t="s">
        <v>184</v>
      </c>
      <c r="BC1" s="53" t="s">
        <v>124</v>
      </c>
      <c r="BD1" s="53" t="s">
        <v>125</v>
      </c>
      <c r="BE1" s="53" t="s">
        <v>126</v>
      </c>
      <c r="BF1" s="53" t="s">
        <v>158</v>
      </c>
      <c r="BG1" s="53" t="s">
        <v>159</v>
      </c>
      <c r="BH1" s="53" t="s">
        <v>127</v>
      </c>
      <c r="BI1" s="53" t="s">
        <v>147</v>
      </c>
      <c r="BJ1" s="53" t="s">
        <v>128</v>
      </c>
      <c r="BK1" s="53" t="s">
        <v>129</v>
      </c>
      <c r="BL1" s="53" t="s">
        <v>130</v>
      </c>
      <c r="BM1" s="53" t="s">
        <v>169</v>
      </c>
      <c r="BN1" s="53" t="s">
        <v>172</v>
      </c>
      <c r="BO1" s="53" t="s">
        <v>173</v>
      </c>
      <c r="BP1" s="53" t="s">
        <v>174</v>
      </c>
      <c r="BQ1" s="53" t="s">
        <v>175</v>
      </c>
      <c r="BR1" s="53" t="s">
        <v>176</v>
      </c>
      <c r="BS1" s="53" t="s">
        <v>177</v>
      </c>
      <c r="BT1" s="53" t="s">
        <v>132</v>
      </c>
      <c r="BU1" s="51" t="s">
        <v>133</v>
      </c>
      <c r="BV1" s="51" t="s">
        <v>134</v>
      </c>
      <c r="BW1" s="51" t="s">
        <v>135</v>
      </c>
      <c r="BX1" s="51" t="s">
        <v>136</v>
      </c>
      <c r="BY1" s="51" t="s">
        <v>137</v>
      </c>
      <c r="BZ1" s="51" t="s">
        <v>138</v>
      </c>
      <c r="CA1" s="51" t="s">
        <v>139</v>
      </c>
      <c r="CB1" s="51" t="s">
        <v>140</v>
      </c>
      <c r="CC1" s="51" t="s">
        <v>141</v>
      </c>
      <c r="CD1" s="51" t="s">
        <v>142</v>
      </c>
      <c r="CE1" s="51" t="s">
        <v>143</v>
      </c>
      <c r="CF1" s="51" t="s">
        <v>145</v>
      </c>
      <c r="CG1" s="51" t="s">
        <v>144</v>
      </c>
      <c r="CH1" s="51" t="s">
        <v>148</v>
      </c>
      <c r="CI1" s="51" t="s">
        <v>150</v>
      </c>
      <c r="CJ1" s="51" t="s">
        <v>151</v>
      </c>
      <c r="CK1" s="51" t="s">
        <v>152</v>
      </c>
      <c r="CL1" s="51" t="s">
        <v>142</v>
      </c>
      <c r="CM1" s="51" t="s">
        <v>143</v>
      </c>
      <c r="CN1" s="51" t="s">
        <v>145</v>
      </c>
      <c r="CO1" s="51" t="s">
        <v>144</v>
      </c>
      <c r="CP1" s="51" t="s">
        <v>148</v>
      </c>
      <c r="CQ1" s="51" t="s">
        <v>150</v>
      </c>
      <c r="CR1" s="51" t="s">
        <v>151</v>
      </c>
      <c r="CS1" s="51" t="s">
        <v>152</v>
      </c>
      <c r="CT1" s="54" t="s">
        <v>166</v>
      </c>
      <c r="CU1" s="54" t="s">
        <v>161</v>
      </c>
      <c r="CV1" s="54" t="s">
        <v>167</v>
      </c>
      <c r="CW1" s="54" t="s">
        <v>164</v>
      </c>
      <c r="CX1" s="54" t="s">
        <v>163</v>
      </c>
      <c r="CY1" s="54" t="s">
        <v>180</v>
      </c>
      <c r="CZ1" s="54" t="s">
        <v>188</v>
      </c>
      <c r="DA1" s="54" t="s">
        <v>187</v>
      </c>
      <c r="DB1" s="54" t="s">
        <v>186</v>
      </c>
      <c r="DC1" s="54" t="s">
        <v>185</v>
      </c>
      <c r="DD1" s="54" t="s">
        <v>193</v>
      </c>
      <c r="LO1" s="54" t="s">
        <v>67</v>
      </c>
      <c r="LP1" s="54" t="s">
        <v>65</v>
      </c>
      <c r="LQ1" s="54" t="s">
        <v>60</v>
      </c>
      <c r="LR1" s="54" t="s">
        <v>59</v>
      </c>
      <c r="LS1" s="54" t="s">
        <v>58</v>
      </c>
      <c r="LT1" s="54" t="s">
        <v>87</v>
      </c>
      <c r="LU1" s="54" t="s">
        <v>93</v>
      </c>
      <c r="LV1" s="54" t="s">
        <v>105</v>
      </c>
      <c r="LW1" s="54"/>
    </row>
    <row r="2" spans="1:335" x14ac:dyDescent="0.2">
      <c r="A2" s="52" t="s">
        <v>146</v>
      </c>
      <c r="B2" s="52">
        <v>1</v>
      </c>
      <c r="C2" s="51" t="s">
        <v>49</v>
      </c>
      <c r="D2" s="51" t="s">
        <v>95</v>
      </c>
      <c r="E2" s="51" t="b">
        <v>1</v>
      </c>
      <c r="F2" s="55" t="s">
        <v>11</v>
      </c>
      <c r="G2" s="56">
        <v>20000</v>
      </c>
      <c r="H2" s="56">
        <v>10000</v>
      </c>
      <c r="I2" s="55"/>
      <c r="J2" s="55">
        <v>0</v>
      </c>
      <c r="K2" s="55" t="b">
        <v>0</v>
      </c>
      <c r="L2" s="55" t="b">
        <v>1</v>
      </c>
      <c r="M2" s="55" t="b">
        <v>1</v>
      </c>
      <c r="N2" s="55" t="b">
        <v>1</v>
      </c>
      <c r="O2" s="55" t="b">
        <v>1</v>
      </c>
      <c r="P2" s="55">
        <v>1</v>
      </c>
      <c r="Q2" s="55">
        <v>1</v>
      </c>
      <c r="R2" s="55">
        <v>1</v>
      </c>
      <c r="S2" s="55">
        <v>1</v>
      </c>
      <c r="T2" s="55" t="b">
        <v>1</v>
      </c>
      <c r="U2" s="55" t="b">
        <v>1</v>
      </c>
      <c r="V2" s="55" t="b">
        <v>1</v>
      </c>
      <c r="W2" s="55" t="b">
        <v>1</v>
      </c>
      <c r="X2" s="55" t="b">
        <v>1</v>
      </c>
      <c r="Y2" s="51" t="b">
        <v>1</v>
      </c>
      <c r="Z2" s="51" t="b">
        <v>0</v>
      </c>
      <c r="AA2" s="51">
        <v>0</v>
      </c>
      <c r="AB2" s="55">
        <v>1</v>
      </c>
      <c r="AC2" s="55" t="s">
        <v>50</v>
      </c>
      <c r="AD2" s="55">
        <v>1</v>
      </c>
      <c r="AE2" s="51" t="b">
        <v>0</v>
      </c>
      <c r="AF2" s="51">
        <v>20</v>
      </c>
      <c r="AG2" s="93" t="s">
        <v>160</v>
      </c>
      <c r="AH2" s="51" t="s">
        <v>43</v>
      </c>
      <c r="AI2" s="51" t="b">
        <v>1</v>
      </c>
      <c r="AJ2" s="51" t="b">
        <v>0</v>
      </c>
      <c r="AK2" s="51" t="b">
        <v>0</v>
      </c>
      <c r="AL2" s="51" t="s">
        <v>101</v>
      </c>
      <c r="AM2" s="51" t="s">
        <v>102</v>
      </c>
      <c r="AN2" s="51"/>
      <c r="AO2" s="120" t="s">
        <v>110</v>
      </c>
      <c r="AP2" s="120" t="s">
        <v>109</v>
      </c>
      <c r="AQ2" s="58"/>
      <c r="AR2" s="122"/>
      <c r="AS2" s="59"/>
      <c r="AT2" s="59"/>
      <c r="AU2" s="60"/>
      <c r="AV2" s="61"/>
      <c r="AW2" s="62"/>
      <c r="AX2" s="63"/>
      <c r="AY2" s="121"/>
      <c r="AZ2" s="64"/>
      <c r="BA2" s="64"/>
      <c r="BB2" s="121"/>
      <c r="BC2" s="95"/>
      <c r="BD2" s="123"/>
      <c r="BE2" s="125"/>
      <c r="BF2" s="124"/>
      <c r="BG2" s="125"/>
      <c r="BH2" s="96"/>
      <c r="BI2" s="75"/>
      <c r="BJ2" s="67"/>
      <c r="BK2" s="95"/>
      <c r="BL2" s="68"/>
      <c r="BM2" s="100"/>
      <c r="BN2" s="62"/>
      <c r="BO2" s="127"/>
      <c r="BP2" s="129"/>
      <c r="BQ2" s="77"/>
      <c r="BR2" s="103"/>
      <c r="BS2" s="96"/>
      <c r="BT2" s="52">
        <v>56</v>
      </c>
      <c r="BU2" s="69">
        <v>35</v>
      </c>
      <c r="BV2" s="51">
        <v>6</v>
      </c>
      <c r="BW2" s="51">
        <v>2</v>
      </c>
      <c r="BX2" s="51">
        <v>2</v>
      </c>
      <c r="BY2" s="51">
        <v>3</v>
      </c>
      <c r="BZ2" s="51">
        <v>2</v>
      </c>
      <c r="CA2" s="51">
        <v>3</v>
      </c>
      <c r="CB2" s="51">
        <v>3</v>
      </c>
      <c r="CC2" s="51">
        <v>6</v>
      </c>
      <c r="CD2" s="51">
        <v>8</v>
      </c>
      <c r="CE2" s="51">
        <v>10</v>
      </c>
      <c r="CF2" s="51">
        <v>12</v>
      </c>
      <c r="CG2" s="51">
        <v>15</v>
      </c>
      <c r="CH2" s="51" t="b">
        <v>1</v>
      </c>
      <c r="CI2" s="55" t="b">
        <v>1</v>
      </c>
      <c r="CJ2" s="57">
        <v>43647</v>
      </c>
      <c r="CK2" s="57">
        <v>43679</v>
      </c>
      <c r="CL2" s="51">
        <v>6</v>
      </c>
      <c r="CM2" s="51">
        <v>10</v>
      </c>
      <c r="CN2" s="51">
        <v>12</v>
      </c>
      <c r="CO2" s="51">
        <v>15</v>
      </c>
      <c r="CP2" s="51" t="b">
        <v>1</v>
      </c>
      <c r="CQ2" s="55" t="b">
        <v>1</v>
      </c>
      <c r="CR2" s="57">
        <v>43617</v>
      </c>
      <c r="CS2" s="57">
        <v>43672</v>
      </c>
      <c r="CT2" s="98" t="s">
        <v>162</v>
      </c>
      <c r="CU2" s="98" t="b">
        <v>1</v>
      </c>
      <c r="CV2" s="98" t="b">
        <v>1</v>
      </c>
      <c r="CW2" s="94" t="b">
        <v>1</v>
      </c>
      <c r="CX2" s="94" t="b">
        <v>1</v>
      </c>
      <c r="CY2" s="104" t="b">
        <v>1</v>
      </c>
      <c r="CZ2" s="94">
        <v>2000</v>
      </c>
      <c r="DA2" s="94">
        <v>2050</v>
      </c>
      <c r="DB2" s="133">
        <v>36526</v>
      </c>
      <c r="DC2" s="133">
        <v>54789</v>
      </c>
      <c r="DD2" s="133">
        <v>44375</v>
      </c>
      <c r="LO2" s="90">
        <v>1</v>
      </c>
      <c r="LP2" s="54" t="s">
        <v>194</v>
      </c>
      <c r="LQ2" s="91" t="s">
        <v>197</v>
      </c>
      <c r="LR2" s="91" t="s">
        <v>196</v>
      </c>
      <c r="LS2" s="91" t="s">
        <v>195</v>
      </c>
      <c r="LT2" s="54" t="s">
        <v>198</v>
      </c>
      <c r="LU2" s="54"/>
      <c r="LV2" s="92"/>
    </row>
    <row r="3" spans="1:335" x14ac:dyDescent="0.2">
      <c r="A3" s="52"/>
      <c r="B3" s="52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120" t="s">
        <v>109</v>
      </c>
      <c r="AP3" s="120"/>
      <c r="AQ3" s="58"/>
      <c r="AR3" s="70"/>
      <c r="AS3" s="59"/>
      <c r="AT3" s="59"/>
      <c r="AU3" s="60"/>
      <c r="AV3" s="61"/>
      <c r="AW3" s="62"/>
      <c r="AX3" s="71"/>
      <c r="AY3" s="123"/>
      <c r="AZ3" s="64"/>
      <c r="BA3" s="64"/>
      <c r="BB3" s="130"/>
      <c r="BC3" s="66"/>
      <c r="BD3" s="123"/>
      <c r="BE3" s="125"/>
      <c r="BF3" s="124"/>
      <c r="BG3" s="125"/>
      <c r="BH3" s="65"/>
      <c r="BI3" s="66"/>
      <c r="BJ3" s="75"/>
      <c r="BK3" s="66"/>
      <c r="BL3" s="76"/>
      <c r="BM3" s="101"/>
      <c r="BN3" s="62"/>
      <c r="BO3" s="127"/>
      <c r="BP3" s="129"/>
      <c r="BQ3" s="77"/>
      <c r="BR3" s="103"/>
      <c r="BS3" s="96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98"/>
      <c r="CU3" s="98"/>
      <c r="CV3" s="98"/>
    </row>
    <row r="4" spans="1:335" x14ac:dyDescent="0.2">
      <c r="A4" s="52"/>
      <c r="B4" s="52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/>
      <c r="R4"/>
      <c r="S4"/>
      <c r="T4"/>
      <c r="U4"/>
      <c r="V4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120" t="s">
        <v>111</v>
      </c>
      <c r="AP4" s="120"/>
      <c r="AQ4" s="65"/>
      <c r="AR4" s="77"/>
      <c r="AS4" s="78"/>
      <c r="AT4" s="78"/>
      <c r="AU4" s="79"/>
      <c r="AV4" s="70"/>
      <c r="AW4" s="62"/>
      <c r="AX4" s="80"/>
      <c r="AY4" s="81"/>
      <c r="AZ4" s="128"/>
      <c r="BA4" s="128"/>
      <c r="BB4" s="78"/>
      <c r="BC4" s="65"/>
      <c r="BD4" s="123"/>
      <c r="BE4" s="125"/>
      <c r="BF4" s="124"/>
      <c r="BG4" s="125"/>
      <c r="BH4" s="74"/>
      <c r="BI4" s="82"/>
      <c r="BJ4" s="120"/>
      <c r="BK4" s="120"/>
      <c r="BL4" s="76"/>
      <c r="BM4" s="97"/>
      <c r="BN4" s="62"/>
      <c r="BO4" s="127"/>
      <c r="BP4" s="129"/>
      <c r="BQ4" s="77"/>
      <c r="BR4" s="103"/>
      <c r="BS4" s="96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98"/>
      <c r="CU4" s="98"/>
      <c r="CV4" s="98"/>
    </row>
    <row r="5" spans="1:335" x14ac:dyDescent="0.2">
      <c r="A5" s="52"/>
      <c r="B5" s="52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/>
      <c r="R5"/>
      <c r="S5"/>
      <c r="T5"/>
      <c r="U5"/>
      <c r="V5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120" t="s">
        <v>108</v>
      </c>
      <c r="AP5" s="120"/>
      <c r="AQ5" s="83"/>
      <c r="AR5" s="126"/>
      <c r="AS5" s="84"/>
      <c r="AT5" s="84"/>
      <c r="AU5" s="85"/>
      <c r="AV5" s="86"/>
      <c r="AW5" s="62"/>
      <c r="AX5" s="71"/>
      <c r="AY5" s="87"/>
      <c r="AZ5" s="72"/>
      <c r="BA5" s="72"/>
      <c r="BB5" s="76"/>
      <c r="BC5" s="88"/>
      <c r="BD5" s="123"/>
      <c r="BE5" s="125"/>
      <c r="BF5" s="124"/>
      <c r="BG5" s="125"/>
      <c r="BH5" s="89"/>
      <c r="BI5" s="73"/>
      <c r="BJ5" s="97"/>
      <c r="BK5" s="75"/>
      <c r="BL5" s="76"/>
      <c r="BM5" s="97"/>
      <c r="BN5" s="62"/>
      <c r="BO5" s="127"/>
      <c r="BP5" s="129"/>
      <c r="BQ5" s="77"/>
      <c r="BR5" s="103"/>
      <c r="BS5" s="96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98"/>
      <c r="CU5" s="98"/>
      <c r="CV5" s="98"/>
    </row>
    <row r="6" spans="1:335" x14ac:dyDescent="0.2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120"/>
      <c r="M6" s="120"/>
      <c r="N6" s="52"/>
      <c r="O6" s="52"/>
      <c r="P6" s="52"/>
      <c r="Q6"/>
      <c r="R6"/>
      <c r="S6"/>
      <c r="T6"/>
      <c r="U6"/>
      <c r="V6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120" t="s">
        <v>112</v>
      </c>
      <c r="AP6" s="120"/>
      <c r="AQ6" s="58"/>
      <c r="AR6" s="70"/>
      <c r="AS6" s="59"/>
      <c r="AT6" s="59"/>
      <c r="AU6" s="60"/>
      <c r="AV6" s="61"/>
      <c r="AW6" s="62"/>
      <c r="AX6" s="71"/>
      <c r="AY6" s="123"/>
      <c r="AZ6" s="64"/>
      <c r="BA6" s="64"/>
      <c r="BB6" s="130"/>
      <c r="BC6" s="66"/>
      <c r="BD6" s="123"/>
      <c r="BE6" s="125"/>
      <c r="BF6" s="124"/>
      <c r="BG6" s="125"/>
      <c r="BH6" s="65"/>
      <c r="BI6" s="66"/>
      <c r="BJ6" s="75"/>
      <c r="BK6" s="66"/>
      <c r="BL6" s="76"/>
      <c r="BM6" s="101"/>
      <c r="BN6" s="62"/>
      <c r="BO6" s="127"/>
      <c r="BP6" s="129"/>
      <c r="BQ6" s="77"/>
      <c r="BR6" s="103"/>
      <c r="BS6" s="96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98"/>
      <c r="CU6" s="98"/>
      <c r="CV6" s="98"/>
    </row>
    <row r="7" spans="1:335" x14ac:dyDescent="0.2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120"/>
      <c r="M7" s="120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120"/>
      <c r="AP7" s="120"/>
      <c r="AQ7" s="58"/>
      <c r="AR7" s="70"/>
      <c r="AS7" s="59"/>
      <c r="AT7" s="59"/>
      <c r="AU7" s="60"/>
      <c r="AV7" s="61"/>
      <c r="AW7" s="62"/>
      <c r="AX7" s="71"/>
      <c r="AY7" s="123"/>
      <c r="AZ7" s="64"/>
      <c r="BA7" s="64"/>
      <c r="BB7" s="130"/>
      <c r="BC7" s="66"/>
      <c r="BD7" s="123"/>
      <c r="BE7" s="125"/>
      <c r="BF7" s="124"/>
      <c r="BG7" s="125"/>
      <c r="BH7" s="65"/>
      <c r="BI7" s="66"/>
      <c r="BJ7" s="75"/>
      <c r="BK7" s="66"/>
      <c r="BL7" s="76"/>
      <c r="BM7" s="101"/>
      <c r="BN7" s="62"/>
      <c r="BO7" s="127"/>
      <c r="BP7" s="129"/>
      <c r="BQ7" s="77"/>
      <c r="BR7" s="103"/>
      <c r="BS7" s="96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98"/>
      <c r="CU7" s="98"/>
      <c r="CV7" s="98"/>
    </row>
    <row r="8" spans="1:335" x14ac:dyDescent="0.2">
      <c r="A8" s="98"/>
      <c r="C8" s="98"/>
      <c r="D8" s="98"/>
      <c r="E8" s="98"/>
      <c r="F8" s="98"/>
      <c r="G8" s="98"/>
      <c r="H8" s="98"/>
      <c r="I8" s="98"/>
      <c r="J8" s="98"/>
      <c r="K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</row>
    <row r="9" spans="1:335" x14ac:dyDescent="0.2">
      <c r="A9" s="98"/>
      <c r="C9" s="98"/>
      <c r="D9" s="98"/>
      <c r="E9" s="98"/>
      <c r="F9" s="98"/>
      <c r="G9" s="98"/>
      <c r="H9" s="98"/>
      <c r="I9" s="98"/>
      <c r="J9" s="98"/>
      <c r="K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</row>
    <row r="10" spans="1:335" x14ac:dyDescent="0.2">
      <c r="A10" s="98"/>
      <c r="C10" s="98"/>
      <c r="D10" s="98"/>
      <c r="E10" s="98"/>
      <c r="F10" s="98"/>
      <c r="G10" s="98"/>
      <c r="H10" s="98"/>
      <c r="I10" s="98"/>
      <c r="J10" s="98"/>
      <c r="K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</row>
  </sheetData>
  <sheetProtection formatCells="0" formatColumns="0" formatRows="0" insertHyperlinks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DT"/>
  <dimension ref="A1:BH36"/>
  <sheetViews>
    <sheetView showGridLines="0" showRowColHeaders="0" workbookViewId="0">
      <selection activeCell="D45" sqref="D45"/>
    </sheetView>
  </sheetViews>
  <sheetFormatPr defaultColWidth="0" defaultRowHeight="15" x14ac:dyDescent="0.2"/>
  <cols>
    <col min="1" max="1" width="0.8046875" customWidth="1"/>
    <col min="2" max="2" width="62.95703125" customWidth="1"/>
    <col min="3" max="3" width="9.953125" customWidth="1"/>
    <col min="4" max="4" width="23.80859375" bestFit="1" customWidth="1"/>
    <col min="5" max="5" width="21.25390625" customWidth="1"/>
    <col min="6" max="6" width="13.31640625" customWidth="1"/>
    <col min="7" max="8" width="2.6875" customWidth="1"/>
    <col min="9" max="20" width="2.6875" hidden="1" customWidth="1"/>
    <col min="21" max="32" width="6.1875" hidden="1" customWidth="1"/>
    <col min="33" max="34" width="6.1875" style="105" hidden="1" customWidth="1"/>
    <col min="35" max="16384" width="6.1875" hidden="1"/>
  </cols>
  <sheetData>
    <row r="1" spans="1:60" s="3" customFormat="1" ht="6" customHeight="1" x14ac:dyDescent="0.2">
      <c r="A1" s="2"/>
      <c r="B1"/>
      <c r="C1"/>
      <c r="D1"/>
      <c r="E1"/>
      <c r="F1" s="2"/>
      <c r="G1" s="2"/>
      <c r="H1" s="2"/>
      <c r="Y1" s="5"/>
      <c r="Z1" s="5"/>
      <c r="AA1" s="5"/>
      <c r="AB1" s="5"/>
      <c r="AC1" s="5"/>
      <c r="AQ1" s="4"/>
    </row>
    <row r="2" spans="1:60" s="3" customFormat="1" ht="20.25" thickBot="1" x14ac:dyDescent="0.25">
      <c r="A2" s="1"/>
      <c r="B2" s="173" t="s">
        <v>48</v>
      </c>
      <c r="C2" s="173"/>
      <c r="D2" s="174"/>
      <c r="E2" s="174"/>
      <c r="F2" s="106"/>
      <c r="G2" s="28"/>
      <c r="H2"/>
      <c r="V2" s="39" t="s">
        <v>47</v>
      </c>
      <c r="W2" s="39" t="s">
        <v>46</v>
      </c>
      <c r="X2" s="40" t="s">
        <v>16</v>
      </c>
      <c r="Y2" s="41"/>
      <c r="Z2" s="42" t="s">
        <v>45</v>
      </c>
      <c r="AA2" s="43"/>
      <c r="AB2" s="5"/>
      <c r="AC2" s="5"/>
      <c r="AD2" s="27" t="s">
        <v>17</v>
      </c>
      <c r="AE2" s="26" t="s">
        <v>44</v>
      </c>
      <c r="AF2" s="17" t="s">
        <v>43</v>
      </c>
      <c r="AG2" s="17" t="s">
        <v>170</v>
      </c>
      <c r="AH2" s="17" t="s">
        <v>171</v>
      </c>
      <c r="AI2" s="17" t="s">
        <v>42</v>
      </c>
      <c r="AJ2" s="17" t="s">
        <v>41</v>
      </c>
      <c r="AK2" s="17" t="s">
        <v>40</v>
      </c>
      <c r="AL2" s="25" t="s">
        <v>39</v>
      </c>
      <c r="AM2" s="17" t="s">
        <v>38</v>
      </c>
      <c r="AN2" s="25" t="s">
        <v>37</v>
      </c>
      <c r="AO2" s="25" t="s">
        <v>35</v>
      </c>
      <c r="AP2" s="17" t="s">
        <v>33</v>
      </c>
      <c r="AQ2" s="17" t="s">
        <v>32</v>
      </c>
      <c r="AR2" s="25" t="s">
        <v>36</v>
      </c>
      <c r="AS2" s="25" t="s">
        <v>34</v>
      </c>
      <c r="AT2" s="24" t="s">
        <v>31</v>
      </c>
      <c r="AU2" s="24" t="s">
        <v>30</v>
      </c>
      <c r="AV2" s="24" t="s">
        <v>29</v>
      </c>
      <c r="AW2" s="24" t="s">
        <v>28</v>
      </c>
      <c r="AX2" s="24" t="s">
        <v>27</v>
      </c>
      <c r="AY2" s="24" t="s">
        <v>98</v>
      </c>
      <c r="AZ2" s="24" t="s">
        <v>26</v>
      </c>
      <c r="BA2" s="24" t="s">
        <v>25</v>
      </c>
      <c r="BB2" s="24" t="s">
        <v>24</v>
      </c>
      <c r="BC2" s="24" t="s">
        <v>23</v>
      </c>
      <c r="BD2" s="24" t="s">
        <v>22</v>
      </c>
      <c r="BE2" s="24" t="s">
        <v>21</v>
      </c>
      <c r="BF2" s="24" t="s">
        <v>20</v>
      </c>
      <c r="BG2" s="24" t="s">
        <v>19</v>
      </c>
      <c r="BH2" s="24" t="s">
        <v>18</v>
      </c>
    </row>
    <row r="3" spans="1:60" s="3" customFormat="1" ht="24" customHeight="1" thickTop="1" x14ac:dyDescent="0.2">
      <c r="A3" s="1"/>
      <c r="B3" s="36" t="s">
        <v>16</v>
      </c>
      <c r="C3" s="31"/>
      <c r="D3" s="37" t="s">
        <v>15</v>
      </c>
      <c r="E3"/>
      <c r="F3"/>
      <c r="G3" s="1"/>
      <c r="H3"/>
      <c r="V3" s="39" t="s">
        <v>86</v>
      </c>
      <c r="W3" s="39" t="s">
        <v>86</v>
      </c>
      <c r="X3" s="44">
        <f>IFERROR((SUMIFS(#REF!,#REF!,"T")+SUMIFS(#REF!,#REF!,"C"))/(COUNTIFS(#REF!,"T")+COUNTIFS(#REF!,"C")),0)</f>
        <v>0</v>
      </c>
      <c r="Y3" s="45">
        <f>100%-X3</f>
        <v>1</v>
      </c>
      <c r="Z3" s="42"/>
      <c r="AA3" s="43"/>
      <c r="AB3" s="5"/>
      <c r="AC3" s="5"/>
      <c r="AD3" t="s">
        <v>92</v>
      </c>
      <c r="AE3" s="23" t="s">
        <v>89</v>
      </c>
      <c r="AF3" s="22" t="s">
        <v>90</v>
      </c>
      <c r="AG3" s="22"/>
      <c r="AH3" s="22"/>
      <c r="AI3" s="22"/>
      <c r="AJ3" s="21"/>
      <c r="AK3" s="47"/>
      <c r="AL3" s="48"/>
      <c r="AM3" s="49"/>
      <c r="AN3" s="48">
        <v>42614</v>
      </c>
      <c r="AO3" s="48">
        <v>42643</v>
      </c>
      <c r="AP3" s="49">
        <v>22</v>
      </c>
      <c r="AQ3" s="20">
        <v>0</v>
      </c>
      <c r="AR3" s="48"/>
      <c r="AS3" s="48"/>
      <c r="AT3" s="50"/>
      <c r="AU3" s="18">
        <v>0</v>
      </c>
      <c r="AV3" s="18">
        <v>0</v>
      </c>
      <c r="AW3" s="18"/>
      <c r="AX3" s="12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0" s="3" customFormat="1" x14ac:dyDescent="0.2">
      <c r="A4" s="1"/>
      <c r="B4"/>
      <c r="C4"/>
      <c r="D4" s="29" t="s">
        <v>14</v>
      </c>
      <c r="E4" s="16" t="str">
        <f>IF(X3=0,"Planned",IF(X3=1,"Completed","In-Progress"))</f>
        <v>Planned</v>
      </c>
      <c r="F4" s="15"/>
      <c r="G4" s="1"/>
      <c r="H4"/>
      <c r="J4"/>
      <c r="K4"/>
      <c r="L4"/>
      <c r="M4"/>
      <c r="N4"/>
      <c r="O4"/>
      <c r="P4"/>
      <c r="Q4"/>
      <c r="R4"/>
      <c r="S4"/>
      <c r="V4" s="39"/>
      <c r="W4" s="39"/>
      <c r="X4" s="40"/>
      <c r="Y4" s="41"/>
      <c r="Z4" s="42"/>
      <c r="AA4" s="43"/>
      <c r="AB4" s="5"/>
      <c r="AC4" s="5"/>
      <c r="AQ4" s="4"/>
    </row>
    <row r="5" spans="1:60" s="3" customFormat="1" x14ac:dyDescent="0.2">
      <c r="A5" s="1"/>
      <c r="B5"/>
      <c r="C5"/>
      <c r="D5" s="8" t="s">
        <v>13</v>
      </c>
      <c r="E5" s="16"/>
      <c r="F5" s="15"/>
      <c r="G5" s="1"/>
      <c r="H5"/>
      <c r="V5" s="39"/>
      <c r="W5" s="39"/>
      <c r="X5" s="40" t="s">
        <v>12</v>
      </c>
      <c r="Y5" s="41" t="s">
        <v>11</v>
      </c>
      <c r="Z5" s="42"/>
      <c r="AA5" s="43"/>
      <c r="AB5" s="5"/>
      <c r="AC5" s="5"/>
      <c r="AQ5" s="4"/>
    </row>
    <row r="6" spans="1:60" s="3" customFormat="1" x14ac:dyDescent="0.2">
      <c r="A6" s="1"/>
      <c r="B6"/>
      <c r="C6"/>
      <c r="D6" s="8" t="s">
        <v>10</v>
      </c>
      <c r="E6" s="14" t="e">
        <f>MIN(#REF!)</f>
        <v>#REF!</v>
      </c>
      <c r="F6" s="13"/>
      <c r="G6" s="1"/>
      <c r="H6"/>
      <c r="V6" s="39"/>
      <c r="W6" s="39"/>
      <c r="X6" s="40" t="s">
        <v>9</v>
      </c>
      <c r="Y6" s="41" t="s">
        <v>91</v>
      </c>
      <c r="Z6" s="42" t="str">
        <f>$Y$5&amp;" "&amp;TEXT(Y6,"#,##0")</f>
        <v>$ 31,726</v>
      </c>
      <c r="AA6" s="43"/>
      <c r="AB6" s="5"/>
      <c r="AC6" s="5"/>
      <c r="AQ6" s="4"/>
    </row>
    <row r="7" spans="1:60" s="3" customFormat="1" x14ac:dyDescent="0.2">
      <c r="A7" s="1"/>
      <c r="B7"/>
      <c r="C7"/>
      <c r="D7" s="8" t="s">
        <v>8</v>
      </c>
      <c r="E7" s="14" t="e">
        <f>MAX(#REF!)</f>
        <v>#REF!</v>
      </c>
      <c r="F7" s="13"/>
      <c r="G7" s="1"/>
      <c r="H7"/>
      <c r="V7" s="39"/>
      <c r="W7" s="39"/>
      <c r="X7" s="40" t="s">
        <v>7</v>
      </c>
      <c r="Y7" s="41" t="s">
        <v>88</v>
      </c>
      <c r="Z7" s="42" t="str">
        <f>$Y$5&amp;" "&amp;TEXT(Y7,"#,##0")</f>
        <v>$ 0</v>
      </c>
      <c r="AA7" s="43"/>
      <c r="AB7" s="5"/>
      <c r="AC7" s="5"/>
      <c r="AQ7" s="4"/>
    </row>
    <row r="8" spans="1:60" s="3" customFormat="1" x14ac:dyDescent="0.2">
      <c r="A8" s="1"/>
      <c r="B8"/>
      <c r="C8"/>
      <c r="D8" s="29" t="s">
        <v>6</v>
      </c>
      <c r="E8" s="10" t="e">
        <f>COUNTIFS(#REF!,"T")+COUNTIFS(#REF!,"C")</f>
        <v>#REF!</v>
      </c>
      <c r="F8" s="9"/>
      <c r="G8" s="1"/>
      <c r="H8"/>
      <c r="V8" s="39"/>
      <c r="W8" s="39"/>
      <c r="X8" s="40" t="s">
        <v>5</v>
      </c>
      <c r="Y8" s="41" t="e">
        <f>SUMIFS(#REF!,#REF!,"T")+SUMIFS(#REF!,#REF!,"MP")</f>
        <v>#REF!</v>
      </c>
      <c r="Z8" s="41" t="e">
        <f>Y5&amp;" "&amp;TEXT(Y8,"#,##0")&amp;" spent"</f>
        <v>#REF!</v>
      </c>
      <c r="AA8" s="43"/>
      <c r="AB8" s="5"/>
      <c r="AC8" s="5"/>
      <c r="AQ8" s="4"/>
    </row>
    <row r="9" spans="1:60" s="3" customFormat="1" x14ac:dyDescent="0.2">
      <c r="A9" s="1"/>
      <c r="B9" s="175"/>
      <c r="C9" s="176"/>
      <c r="D9" s="8" t="s">
        <v>77</v>
      </c>
      <c r="E9" s="10" t="e">
        <f>COUNTIFS(#REF!,"T",#REF!,1)+COUNTIFS(#REF!,"C",#REF!,1)</f>
        <v>#REF!</v>
      </c>
      <c r="F9" s="9"/>
      <c r="G9" s="1"/>
      <c r="H9"/>
      <c r="V9" s="39"/>
      <c r="W9" s="39"/>
      <c r="X9" s="40" t="s">
        <v>4</v>
      </c>
      <c r="Y9" s="45">
        <f>IFERROR(Y8/Y6,0)</f>
        <v>0</v>
      </c>
      <c r="Z9" s="45">
        <f>1-Y9</f>
        <v>1</v>
      </c>
      <c r="AA9" s="46"/>
      <c r="AB9" s="11"/>
      <c r="AC9" s="11"/>
      <c r="AQ9" s="4"/>
    </row>
    <row r="10" spans="1:60" s="3" customFormat="1" x14ac:dyDescent="0.2">
      <c r="A10" s="1"/>
      <c r="B10"/>
      <c r="C10"/>
      <c r="D10" s="8" t="s">
        <v>78</v>
      </c>
      <c r="E10" s="10" t="e">
        <f ca="1">COUNTIFS(#REF!,"T",#REF!,"&lt;"&amp;1,#REF!,"&gt;"&amp;0,#REF!,"&gt;="&amp;TODAY())+COUNTIFS(#REF!,"C",#REF!,"&lt;"&amp;1,#REF!,"&gt;"&amp;0,#REF!,"&gt;="&amp;TODAY())</f>
        <v>#REF!</v>
      </c>
      <c r="F10" s="9"/>
      <c r="G10" s="1"/>
      <c r="H10"/>
      <c r="V10" s="39"/>
      <c r="W10" s="39"/>
      <c r="X10" s="39"/>
      <c r="Y10" s="43"/>
      <c r="Z10" s="43"/>
      <c r="AA10" s="43"/>
      <c r="AB10" s="5"/>
      <c r="AC10" s="5"/>
      <c r="AQ10" s="4"/>
    </row>
    <row r="11" spans="1:60" s="3" customFormat="1" x14ac:dyDescent="0.2">
      <c r="A11" s="1"/>
      <c r="B11"/>
      <c r="C11"/>
      <c r="D11" s="8" t="s">
        <v>79</v>
      </c>
      <c r="E11" s="10" t="e">
        <f ca="1">COUNTIFS(#REF!,"T",#REF!,0,#REF!,"&gt;="&amp;TODAY())+COUNTIFS(#REF!,"C",#REF!,0,#REF!,"&gt;="&amp;TODAY())</f>
        <v>#REF!</v>
      </c>
      <c r="F11" s="9"/>
      <c r="G11" s="1"/>
      <c r="H11"/>
      <c r="V11" s="39"/>
      <c r="W11" s="39"/>
      <c r="X11" s="39" t="s">
        <v>85</v>
      </c>
      <c r="Y11" s="43" t="e">
        <f>SUMIFS(#REF!,#REF!,"T")+SUMIFS(#REF!,#REF!,"MP")</f>
        <v>#REF!</v>
      </c>
      <c r="Z11" s="42" t="e">
        <f>$Y$5&amp;" "&amp;TEXT(Y11,"#,##0")</f>
        <v>#REF!</v>
      </c>
      <c r="AA11" s="43"/>
      <c r="AB11" s="5"/>
      <c r="AC11" s="5"/>
      <c r="AQ11" s="4"/>
    </row>
    <row r="12" spans="1:60" s="3" customFormat="1" x14ac:dyDescent="0.2">
      <c r="A12" s="1"/>
      <c r="B12"/>
      <c r="C12"/>
      <c r="D12" s="8" t="s">
        <v>80</v>
      </c>
      <c r="E12" s="7" t="e">
        <f ca="1">COUNTIFS(#REF!,"T",#REF!,"&lt;&gt;"&amp;1,#REF!,"&lt;"&amp;TODAY())+COUNTIFS(#REF!,"C",#REF!,"&lt;&gt;"&amp;1,#REF!,"&lt;"&amp;TODAY())</f>
        <v>#REF!</v>
      </c>
      <c r="F12" s="6"/>
      <c r="G12" s="1"/>
      <c r="H12"/>
      <c r="V12" s="39"/>
      <c r="W12" s="39"/>
      <c r="X12" s="39" t="s">
        <v>84</v>
      </c>
      <c r="Y12" s="43" t="e">
        <f>SUMIFS(#REF!,#REF!,"T")+SUMIFS(#REF!,#REF!,"MP")</f>
        <v>#REF!</v>
      </c>
      <c r="Z12" s="42" t="e">
        <f>$Y$5&amp;" "&amp;TEXT(Y12,"#,##0")</f>
        <v>#REF!</v>
      </c>
      <c r="AA12" s="43"/>
      <c r="AB12" s="5"/>
      <c r="AC12" s="5"/>
      <c r="AQ12" s="4"/>
    </row>
    <row r="13" spans="1:60" s="3" customFormat="1" ht="5.45" customHeight="1" x14ac:dyDescent="0.2">
      <c r="A13" s="1"/>
      <c r="B13" s="33"/>
      <c r="C13" s="34"/>
      <c r="D13" s="35"/>
      <c r="E13" s="1"/>
      <c r="F13" s="1"/>
      <c r="G13" s="1"/>
      <c r="H13"/>
      <c r="V13" s="39"/>
      <c r="W13" s="39"/>
      <c r="X13" s="39" t="s">
        <v>83</v>
      </c>
      <c r="Y13" s="43" t="e">
        <f>SUMIFS(#REF!,#REF!,"T")+SUMIFS(#REF!,#REF!,"MP")</f>
        <v>#REF!</v>
      </c>
      <c r="Z13" s="42" t="e">
        <f>$Y$5&amp;" "&amp;TEXT(Y13,"#,##0")</f>
        <v>#REF!</v>
      </c>
      <c r="AA13" s="43"/>
      <c r="AB13" s="5"/>
      <c r="AC13" s="5"/>
      <c r="AQ13" s="4"/>
    </row>
    <row r="14" spans="1:60" s="3" customFormat="1" x14ac:dyDescent="0.2">
      <c r="A14" s="1"/>
      <c r="B14" s="172" t="s">
        <v>3</v>
      </c>
      <c r="C14" s="172"/>
      <c r="D14" s="172"/>
      <c r="E14" s="172"/>
      <c r="F14" s="172"/>
      <c r="G14" s="1"/>
      <c r="H14"/>
      <c r="V14" s="39"/>
      <c r="W14" s="39"/>
      <c r="X14" s="39"/>
      <c r="Y14" s="43"/>
      <c r="Z14" s="43"/>
      <c r="AA14" s="43"/>
      <c r="AB14" s="5"/>
      <c r="AC14" s="5"/>
      <c r="AQ14" s="4"/>
    </row>
    <row r="15" spans="1:60" s="30" customFormat="1" ht="15" customHeight="1" x14ac:dyDescent="0.2">
      <c r="A15" s="1"/>
      <c r="B15" s="2"/>
      <c r="C15" s="2"/>
      <c r="D15" s="2"/>
      <c r="E15" s="2"/>
      <c r="F15" s="2"/>
      <c r="G15" s="1"/>
      <c r="H15" s="2"/>
      <c r="V15" s="39"/>
      <c r="W15" s="39"/>
      <c r="X15" s="39"/>
      <c r="Y15" s="39"/>
      <c r="Z15" s="39"/>
      <c r="AA15" s="39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4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</row>
    <row r="16" spans="1:60" s="3" customFormat="1" x14ac:dyDescent="0.2">
      <c r="A16" s="1"/>
      <c r="B16"/>
      <c r="C16"/>
      <c r="D16"/>
      <c r="E16"/>
      <c r="F16"/>
      <c r="G16" s="1"/>
      <c r="H16"/>
      <c r="V16" s="39"/>
      <c r="W16" s="39"/>
      <c r="X16" s="39" t="e">
        <f ca="1">SUM(INDIRECT("'Project Dashboard'!E9:E12"))&amp;" Tasks"</f>
        <v>#REF!</v>
      </c>
      <c r="Y16" s="39"/>
      <c r="Z16" s="39"/>
      <c r="AA16" s="39"/>
      <c r="AQ16" s="4"/>
    </row>
    <row r="17" spans="1:60" s="3" customFormat="1" ht="21.4" customHeight="1" x14ac:dyDescent="0.2">
      <c r="A17" s="1"/>
      <c r="B17"/>
      <c r="C17"/>
      <c r="D17"/>
      <c r="E17"/>
      <c r="F17"/>
      <c r="G17" s="1"/>
      <c r="H17"/>
      <c r="AQ17" s="4"/>
    </row>
    <row r="18" spans="1:60" s="3" customFormat="1" ht="4.7" customHeight="1" x14ac:dyDescent="0.2">
      <c r="A18" s="1"/>
      <c r="B18" s="1"/>
      <c r="C18" s="1"/>
      <c r="D18" s="1"/>
      <c r="E18" s="1"/>
      <c r="F18" s="1"/>
      <c r="G18" s="1"/>
      <c r="H18"/>
      <c r="AQ18" s="4"/>
    </row>
    <row r="19" spans="1:60" s="3" customFormat="1" x14ac:dyDescent="0.2">
      <c r="A19" s="1"/>
      <c r="B19"/>
      <c r="C19"/>
      <c r="D19"/>
      <c r="E19"/>
      <c r="F19"/>
      <c r="G19" s="1"/>
      <c r="H19"/>
      <c r="AQ19" s="4"/>
    </row>
    <row r="20" spans="1:60" s="3" customFormat="1" x14ac:dyDescent="0.2">
      <c r="A20" s="1"/>
      <c r="B20" s="32" t="s">
        <v>81</v>
      </c>
      <c r="C20"/>
      <c r="D20" s="38" t="s">
        <v>82</v>
      </c>
      <c r="E20"/>
      <c r="F20"/>
      <c r="G20" s="1"/>
      <c r="H20"/>
      <c r="X20"/>
      <c r="Y20"/>
      <c r="Z20"/>
      <c r="AQ20" s="4"/>
    </row>
    <row r="21" spans="1:60" s="3" customFormat="1" x14ac:dyDescent="0.2">
      <c r="A21" s="1"/>
      <c r="B21"/>
      <c r="C21"/>
      <c r="D21"/>
      <c r="E21"/>
      <c r="F21"/>
      <c r="G21" s="1"/>
      <c r="H21"/>
      <c r="X21"/>
      <c r="Y21"/>
      <c r="Z21"/>
      <c r="AQ21" s="4"/>
    </row>
    <row r="22" spans="1:60" s="3" customFormat="1" x14ac:dyDescent="0.2">
      <c r="A22" s="1"/>
      <c r="B22"/>
      <c r="C22"/>
      <c r="D22"/>
      <c r="E22"/>
      <c r="F22"/>
      <c r="G22" s="1"/>
      <c r="H22"/>
      <c r="X22"/>
      <c r="Y22"/>
      <c r="Z22"/>
      <c r="AQ22" s="4"/>
    </row>
    <row r="23" spans="1:60" s="3" customFormat="1" x14ac:dyDescent="0.2">
      <c r="A23" s="1"/>
      <c r="B23"/>
      <c r="C23"/>
      <c r="D23"/>
      <c r="E23"/>
      <c r="F23"/>
      <c r="G23" s="1"/>
      <c r="H23"/>
      <c r="X23"/>
      <c r="Y23"/>
      <c r="Z23"/>
      <c r="AQ23" s="4"/>
    </row>
    <row r="24" spans="1:60" s="3" customFormat="1" x14ac:dyDescent="0.2">
      <c r="A24" s="1"/>
      <c r="B24"/>
      <c r="C24"/>
      <c r="D24"/>
      <c r="E24"/>
      <c r="F24"/>
      <c r="G24" s="1"/>
      <c r="H24"/>
      <c r="AQ24" s="4"/>
    </row>
    <row r="25" spans="1:60" s="3" customFormat="1" x14ac:dyDescent="0.2">
      <c r="A25" s="1"/>
      <c r="B25"/>
      <c r="C25"/>
      <c r="D25"/>
      <c r="E25"/>
      <c r="F25"/>
      <c r="G25" s="1"/>
      <c r="H25"/>
      <c r="AQ25" s="4"/>
    </row>
    <row r="26" spans="1:60" s="30" customFormat="1" ht="15" customHeight="1" x14ac:dyDescent="0.2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4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</row>
    <row r="27" spans="1:60" s="3" customFormat="1" x14ac:dyDescent="0.2">
      <c r="A27" s="1"/>
      <c r="B27" s="2"/>
      <c r="C27" s="2"/>
      <c r="D27" s="2"/>
      <c r="E27" s="2"/>
      <c r="F27" s="2"/>
      <c r="G27" s="1"/>
      <c r="H27" s="2"/>
      <c r="AQ27" s="4"/>
    </row>
    <row r="28" spans="1:60" s="3" customFormat="1" x14ac:dyDescent="0.2">
      <c r="A28" s="1"/>
      <c r="B28"/>
      <c r="C28"/>
      <c r="D28"/>
      <c r="E28"/>
      <c r="F28"/>
      <c r="G28" s="1"/>
      <c r="H28"/>
      <c r="AQ28" s="4"/>
    </row>
    <row r="29" spans="1:60" s="3" customFormat="1" x14ac:dyDescent="0.2">
      <c r="A29" s="1"/>
      <c r="B29"/>
      <c r="C29"/>
      <c r="D29"/>
      <c r="E29"/>
      <c r="F29"/>
      <c r="G29" s="1"/>
      <c r="H29"/>
      <c r="AQ29" s="4"/>
    </row>
    <row r="30" spans="1:60" s="3" customFormat="1" x14ac:dyDescent="0.2">
      <c r="A30" s="1"/>
      <c r="B30"/>
      <c r="C30"/>
      <c r="D30"/>
      <c r="E30"/>
      <c r="F30"/>
      <c r="G30" s="1"/>
      <c r="H30"/>
      <c r="AQ30" s="4"/>
    </row>
    <row r="31" spans="1:60" s="3" customFormat="1" x14ac:dyDescent="0.2">
      <c r="A31" s="1"/>
      <c r="B31"/>
      <c r="C31"/>
      <c r="D31"/>
      <c r="E31"/>
      <c r="F31"/>
      <c r="G31" s="1"/>
      <c r="H31"/>
      <c r="AQ31" s="4"/>
    </row>
    <row r="32" spans="1:60" s="3" customFormat="1" x14ac:dyDescent="0.2">
      <c r="A32" s="1"/>
      <c r="B32"/>
      <c r="C32"/>
      <c r="D32"/>
      <c r="E32"/>
      <c r="F32"/>
      <c r="G32" s="1"/>
      <c r="H32"/>
      <c r="AQ32" s="4"/>
    </row>
    <row r="33" spans="1:43" s="3" customFormat="1" x14ac:dyDescent="0.2">
      <c r="A33" s="1"/>
      <c r="B33"/>
      <c r="C33"/>
      <c r="D33"/>
      <c r="E33"/>
      <c r="F33"/>
      <c r="G33" s="1"/>
      <c r="H33"/>
      <c r="AQ33" s="4"/>
    </row>
    <row r="34" spans="1:43" s="3" customFormat="1" ht="15" customHeight="1" x14ac:dyDescent="0.2">
      <c r="A34" s="1"/>
      <c r="B34" s="2"/>
      <c r="C34" s="2"/>
      <c r="D34" s="2"/>
      <c r="E34" s="2"/>
      <c r="F34" s="2"/>
      <c r="G34" s="1"/>
      <c r="H34"/>
      <c r="AQ34" s="4"/>
    </row>
    <row r="35" spans="1:43" s="3" customFormat="1" ht="15" customHeight="1" x14ac:dyDescent="0.2">
      <c r="A35" s="1"/>
      <c r="B35" s="2"/>
      <c r="C35" s="2"/>
      <c r="D35" s="2"/>
      <c r="E35" s="2"/>
      <c r="F35" s="2"/>
      <c r="G35" s="1"/>
      <c r="H35"/>
      <c r="AQ35" s="4"/>
    </row>
    <row r="36" spans="1:43" s="3" customFormat="1" ht="23.45" customHeight="1" x14ac:dyDescent="0.2">
      <c r="A36" s="1"/>
      <c r="B36" s="1"/>
      <c r="C36" s="1"/>
      <c r="D36" s="1"/>
      <c r="E36" s="1"/>
      <c r="F36" s="1"/>
      <c r="G36" s="1"/>
      <c r="H36"/>
      <c r="AQ36" s="4"/>
    </row>
  </sheetData>
  <sheetProtection formatCells="0" formatColumns="0" formatRows="0" insertHyperlinks="0" autoFilter="0"/>
  <mergeCells count="4">
    <mergeCell ref="B14:F14"/>
    <mergeCell ref="B2:C2"/>
    <mergeCell ref="D2:E2"/>
    <mergeCell ref="B9:C9"/>
  </mergeCells>
  <conditionalFormatting sqref="E12">
    <cfRule type="cellIs" dxfId="34" priority="2" operator="greaterThan">
      <formula>0</formula>
    </cfRule>
  </conditionalFormatting>
  <dataValidations count="1">
    <dataValidation type="list" allowBlank="1" showInputMessage="1" showErrorMessage="1" sqref="D2:E2" xr:uid="{00000000-0002-0000-0000-000000000000}">
      <formula1>OFFSET($W$2,1,0,COUNTA($W:$W)-1,1)</formula1>
    </dataValidation>
  </dataValidations>
  <pageMargins left="0.25" right="0.25" top="0.5" bottom="0.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Dashboard">
              <controlPr defaultSize="0" print="0" autoFill="0" autoPict="0" macro="[0]!refreshdashbutton">
                <anchor>
                  <from>
                    <xdr:col>5</xdr:col>
                    <xdr:colOff>142875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7FC5-87B1-4471-B5EB-E22A8D5B8348}">
  <dimension ref="A1:BS12"/>
  <sheetViews>
    <sheetView showGridLines="0" showRowColHeaders="0" tabSelected="1" zoomScaleNormal="100" workbookViewId="0"/>
  </sheetViews>
  <sheetFormatPr defaultColWidth="0" defaultRowHeight="15" x14ac:dyDescent="0.2"/>
  <cols>
    <col min="1" max="7" width="0" hidden="1" customWidth="1"/>
    <col min="8" max="9" width="2.6875" customWidth="1"/>
    <col min="10" max="10" width="6.72265625" customWidth="1"/>
    <col min="11" max="11" width="45.73828125" customWidth="1"/>
    <col min="12" max="12" width="10.76171875" customWidth="1"/>
    <col min="13" max="13" width="10.76171875" hidden="1" customWidth="1"/>
    <col min="14" max="14" width="13.71875" customWidth="1"/>
    <col min="15" max="18" width="13.71875" hidden="1" customWidth="1"/>
    <col min="19" max="20" width="13.71875" customWidth="1"/>
    <col min="21" max="21" width="10.76171875" customWidth="1"/>
    <col min="22" max="22" width="5.6484375" customWidth="1"/>
    <col min="23" max="23" width="10.76171875" customWidth="1"/>
    <col min="24" max="33" width="13.71875" hidden="1" customWidth="1"/>
    <col min="34" max="34" width="0" hidden="1" customWidth="1"/>
    <col min="35" max="35" width="9.14453125" customWidth="1"/>
    <col min="36" max="70" width="3.765625" customWidth="1"/>
    <col min="71" max="16384" width="10.76171875" hidden="1"/>
  </cols>
  <sheetData>
    <row r="1" spans="1:71" hidden="1" x14ac:dyDescent="0.2">
      <c r="A1" t="s">
        <v>17</v>
      </c>
      <c r="B1" t="s">
        <v>215</v>
      </c>
      <c r="C1" t="s">
        <v>216</v>
      </c>
      <c r="D1" t="s">
        <v>217</v>
      </c>
      <c r="E1" t="s">
        <v>218</v>
      </c>
      <c r="F1" t="s">
        <v>219</v>
      </c>
      <c r="G1" t="s">
        <v>220</v>
      </c>
      <c r="H1" t="s">
        <v>221</v>
      </c>
      <c r="I1" t="s">
        <v>222</v>
      </c>
      <c r="J1" t="s">
        <v>44</v>
      </c>
      <c r="K1" t="s">
        <v>43</v>
      </c>
      <c r="L1" t="s">
        <v>170</v>
      </c>
      <c r="M1" t="s">
        <v>171</v>
      </c>
      <c r="N1" t="s">
        <v>42</v>
      </c>
      <c r="O1" t="s">
        <v>41</v>
      </c>
      <c r="P1" t="s">
        <v>40</v>
      </c>
      <c r="Q1" t="s">
        <v>39</v>
      </c>
      <c r="R1" t="s">
        <v>38</v>
      </c>
      <c r="S1" t="s">
        <v>37</v>
      </c>
      <c r="T1" t="s">
        <v>35</v>
      </c>
      <c r="U1" t="s">
        <v>33</v>
      </c>
      <c r="V1" t="s">
        <v>77</v>
      </c>
      <c r="W1" t="s">
        <v>32</v>
      </c>
      <c r="X1" t="s">
        <v>36</v>
      </c>
      <c r="Y1" t="s">
        <v>34</v>
      </c>
      <c r="Z1" t="s">
        <v>31</v>
      </c>
      <c r="AA1" t="s">
        <v>30</v>
      </c>
      <c r="AB1" t="s">
        <v>29</v>
      </c>
      <c r="AC1" t="s">
        <v>28</v>
      </c>
      <c r="AD1" t="s">
        <v>27</v>
      </c>
      <c r="AE1" t="s">
        <v>223</v>
      </c>
      <c r="AF1" t="s">
        <v>224</v>
      </c>
      <c r="AG1" t="s">
        <v>225</v>
      </c>
      <c r="AH1" t="s">
        <v>226</v>
      </c>
      <c r="AI1" t="s">
        <v>227</v>
      </c>
      <c r="AJ1" t="s">
        <v>228</v>
      </c>
      <c r="BR1" t="s">
        <v>229</v>
      </c>
    </row>
    <row r="2" spans="1:71" hidden="1" x14ac:dyDescent="0.2">
      <c r="A2" t="s">
        <v>250</v>
      </c>
      <c r="B2" t="s">
        <v>250</v>
      </c>
      <c r="C2" t="s">
        <v>250</v>
      </c>
      <c r="D2" t="s">
        <v>250</v>
      </c>
      <c r="E2" t="s">
        <v>250</v>
      </c>
      <c r="F2" t="s">
        <v>250</v>
      </c>
      <c r="G2" t="s">
        <v>250</v>
      </c>
      <c r="H2">
        <v>1</v>
      </c>
      <c r="I2" t="s">
        <v>250</v>
      </c>
      <c r="J2" t="s">
        <v>250</v>
      </c>
      <c r="K2" t="s">
        <v>250</v>
      </c>
      <c r="L2" t="s">
        <v>250</v>
      </c>
      <c r="M2" t="s">
        <v>250</v>
      </c>
      <c r="N2" t="s">
        <v>250</v>
      </c>
      <c r="O2" t="s">
        <v>250</v>
      </c>
      <c r="P2" t="s">
        <v>250</v>
      </c>
      <c r="Q2" t="s">
        <v>250</v>
      </c>
      <c r="R2" t="s">
        <v>250</v>
      </c>
      <c r="S2" t="s">
        <v>250</v>
      </c>
      <c r="T2" t="s">
        <v>250</v>
      </c>
      <c r="U2" t="s">
        <v>250</v>
      </c>
      <c r="V2" t="s">
        <v>250</v>
      </c>
      <c r="W2" t="s">
        <v>250</v>
      </c>
      <c r="X2" t="s">
        <v>250</v>
      </c>
      <c r="Y2" t="s">
        <v>250</v>
      </c>
      <c r="Z2" t="s">
        <v>250</v>
      </c>
      <c r="AA2" t="s">
        <v>250</v>
      </c>
      <c r="AB2" t="s">
        <v>250</v>
      </c>
      <c r="AC2" t="s">
        <v>250</v>
      </c>
      <c r="AD2" t="s">
        <v>250</v>
      </c>
      <c r="AE2" t="s">
        <v>250</v>
      </c>
      <c r="AF2" t="s">
        <v>250</v>
      </c>
      <c r="AG2" t="s">
        <v>250</v>
      </c>
      <c r="AH2" t="s">
        <v>250</v>
      </c>
      <c r="AI2" t="s">
        <v>250</v>
      </c>
    </row>
    <row r="3" spans="1:71" hidden="1" x14ac:dyDescent="0.2"/>
    <row r="4" spans="1:71" hidden="1" x14ac:dyDescent="0.2"/>
    <row r="5" spans="1:71" hidden="1" x14ac:dyDescent="0.2"/>
    <row r="6" spans="1:71" ht="24" customHeight="1" x14ac:dyDescent="0.2">
      <c r="H6" s="140"/>
      <c r="I6" s="140"/>
      <c r="J6" s="167" t="s">
        <v>264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1">
        <v>44375</v>
      </c>
      <c r="AK6" s="141">
        <v>44376</v>
      </c>
      <c r="AL6" s="141">
        <v>44377</v>
      </c>
      <c r="AM6" s="141">
        <v>44378</v>
      </c>
      <c r="AN6" s="141">
        <v>44379</v>
      </c>
      <c r="AO6" s="141">
        <v>44380</v>
      </c>
      <c r="AP6" s="141">
        <v>44381</v>
      </c>
      <c r="AQ6" s="141">
        <v>44382</v>
      </c>
      <c r="AR6" s="141">
        <v>44383</v>
      </c>
      <c r="AS6" s="141">
        <v>44384</v>
      </c>
      <c r="AT6" s="141">
        <v>44385</v>
      </c>
      <c r="AU6" s="141">
        <v>44386</v>
      </c>
      <c r="AV6" s="141">
        <v>44387</v>
      </c>
      <c r="AW6" s="141">
        <v>44388</v>
      </c>
      <c r="AX6" s="141">
        <v>44389</v>
      </c>
      <c r="AY6" s="141">
        <v>44390</v>
      </c>
      <c r="AZ6" s="141">
        <v>44391</v>
      </c>
      <c r="BA6" s="141">
        <v>44392</v>
      </c>
      <c r="BB6" s="141">
        <v>44393</v>
      </c>
      <c r="BC6" s="141">
        <v>44394</v>
      </c>
      <c r="BD6" s="141">
        <v>44395</v>
      </c>
      <c r="BE6" s="141">
        <v>44396</v>
      </c>
      <c r="BF6" s="141">
        <v>44397</v>
      </c>
      <c r="BG6" s="141">
        <v>44398</v>
      </c>
      <c r="BH6" s="141">
        <v>44399</v>
      </c>
      <c r="BI6" s="141">
        <v>44400</v>
      </c>
      <c r="BJ6" s="141">
        <v>44401</v>
      </c>
      <c r="BK6" s="141">
        <v>44402</v>
      </c>
      <c r="BL6" s="141">
        <v>44403</v>
      </c>
      <c r="BM6" s="141">
        <v>44404</v>
      </c>
      <c r="BN6" s="141">
        <v>44405</v>
      </c>
      <c r="BO6" s="141">
        <v>44406</v>
      </c>
      <c r="BP6" s="141">
        <v>44407</v>
      </c>
      <c r="BQ6" s="141">
        <v>44408</v>
      </c>
      <c r="BR6" s="141">
        <v>44409</v>
      </c>
    </row>
    <row r="7" spans="1:71" x14ac:dyDescent="0.2">
      <c r="J7" s="138" t="s">
        <v>265</v>
      </c>
      <c r="AJ7" s="142" t="s">
        <v>253</v>
      </c>
      <c r="AK7" s="142"/>
      <c r="AL7" s="142"/>
      <c r="AM7" s="142"/>
      <c r="AN7" s="142"/>
      <c r="AO7" s="142"/>
      <c r="AP7" s="142"/>
      <c r="AQ7" s="143" t="s">
        <v>257</v>
      </c>
      <c r="AR7" s="143"/>
      <c r="AS7" s="143"/>
      <c r="AT7" s="143"/>
      <c r="AU7" s="143"/>
      <c r="AV7" s="143"/>
      <c r="AW7" s="143"/>
      <c r="AX7" s="142" t="s">
        <v>258</v>
      </c>
      <c r="AY7" s="142"/>
      <c r="AZ7" s="142"/>
      <c r="BA7" s="142"/>
      <c r="BB7" s="142"/>
      <c r="BC7" s="142"/>
      <c r="BD7" s="142"/>
      <c r="BE7" s="143" t="s">
        <v>259</v>
      </c>
      <c r="BF7" s="143"/>
      <c r="BG7" s="143"/>
      <c r="BH7" s="143"/>
      <c r="BI7" s="143"/>
      <c r="BJ7" s="143"/>
      <c r="BK7" s="143"/>
      <c r="BL7" s="142" t="s">
        <v>260</v>
      </c>
      <c r="BM7" s="142"/>
      <c r="BN7" s="142"/>
      <c r="BO7" s="142"/>
      <c r="BP7" s="142"/>
      <c r="BQ7" s="142"/>
      <c r="BR7" s="142"/>
    </row>
    <row r="8" spans="1:71" x14ac:dyDescent="0.2">
      <c r="H8" s="120"/>
      <c r="I8" s="120"/>
      <c r="J8" s="171" t="s">
        <v>266</v>
      </c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44"/>
      <c r="AJ8" s="145">
        <v>28</v>
      </c>
      <c r="AK8" s="145">
        <v>29</v>
      </c>
      <c r="AL8" s="145">
        <v>30</v>
      </c>
      <c r="AM8" s="145">
        <v>1</v>
      </c>
      <c r="AN8" s="145">
        <v>2</v>
      </c>
      <c r="AO8" s="145">
        <v>3</v>
      </c>
      <c r="AP8" s="145">
        <v>4</v>
      </c>
      <c r="AQ8" s="145">
        <v>5</v>
      </c>
      <c r="AR8" s="145">
        <v>6</v>
      </c>
      <c r="AS8" s="145">
        <v>7</v>
      </c>
      <c r="AT8" s="145">
        <v>8</v>
      </c>
      <c r="AU8" s="145">
        <v>9</v>
      </c>
      <c r="AV8" s="145">
        <v>10</v>
      </c>
      <c r="AW8" s="145">
        <v>11</v>
      </c>
      <c r="AX8" s="145">
        <v>12</v>
      </c>
      <c r="AY8" s="145">
        <v>13</v>
      </c>
      <c r="AZ8" s="145">
        <v>14</v>
      </c>
      <c r="BA8" s="145">
        <v>15</v>
      </c>
      <c r="BB8" s="145">
        <v>16</v>
      </c>
      <c r="BC8" s="145">
        <v>17</v>
      </c>
      <c r="BD8" s="145">
        <v>18</v>
      </c>
      <c r="BE8" s="145">
        <v>19</v>
      </c>
      <c r="BF8" s="145">
        <v>20</v>
      </c>
      <c r="BG8" s="145">
        <v>21</v>
      </c>
      <c r="BH8" s="145">
        <v>22</v>
      </c>
      <c r="BI8" s="145">
        <v>23</v>
      </c>
      <c r="BJ8" s="145">
        <v>24</v>
      </c>
      <c r="BK8" s="145">
        <v>25</v>
      </c>
      <c r="BL8" s="145">
        <v>26</v>
      </c>
      <c r="BM8" s="145">
        <v>27</v>
      </c>
      <c r="BN8" s="145">
        <v>28</v>
      </c>
      <c r="BO8" s="145">
        <v>29</v>
      </c>
      <c r="BP8" s="145">
        <v>30</v>
      </c>
      <c r="BQ8" s="145">
        <v>31</v>
      </c>
      <c r="BR8" s="145">
        <v>1</v>
      </c>
      <c r="BS8" s="146"/>
    </row>
    <row r="9" spans="1:71" ht="24" customHeight="1" x14ac:dyDescent="0.2">
      <c r="A9" s="139" t="s">
        <v>17</v>
      </c>
      <c r="B9" s="139" t="s">
        <v>215</v>
      </c>
      <c r="C9" s="139" t="s">
        <v>216</v>
      </c>
      <c r="D9" s="139" t="s">
        <v>217</v>
      </c>
      <c r="E9" s="139" t="s">
        <v>218</v>
      </c>
      <c r="F9" s="139" t="s">
        <v>219</v>
      </c>
      <c r="G9" s="139"/>
      <c r="H9" s="147"/>
      <c r="I9" s="147"/>
      <c r="J9" s="147" t="s">
        <v>44</v>
      </c>
      <c r="K9" s="147" t="s">
        <v>230</v>
      </c>
      <c r="L9" s="147" t="s">
        <v>170</v>
      </c>
      <c r="M9" s="147" t="s">
        <v>171</v>
      </c>
      <c r="N9" s="147" t="s">
        <v>199</v>
      </c>
      <c r="O9" s="147" t="s">
        <v>231</v>
      </c>
      <c r="P9" s="147" t="s">
        <v>232</v>
      </c>
      <c r="Q9" s="147" t="s">
        <v>233</v>
      </c>
      <c r="R9" s="147" t="s">
        <v>234</v>
      </c>
      <c r="S9" s="147" t="s">
        <v>235</v>
      </c>
      <c r="T9" s="147" t="s">
        <v>236</v>
      </c>
      <c r="U9" s="147" t="s">
        <v>237</v>
      </c>
      <c r="V9" s="147" t="s">
        <v>238</v>
      </c>
      <c r="W9" s="147" t="s">
        <v>239</v>
      </c>
      <c r="X9" s="147" t="s">
        <v>240</v>
      </c>
      <c r="Y9" s="147" t="s">
        <v>241</v>
      </c>
      <c r="Z9" s="147" t="s">
        <v>242</v>
      </c>
      <c r="AA9" s="147" t="s">
        <v>243</v>
      </c>
      <c r="AB9" s="147" t="s">
        <v>200</v>
      </c>
      <c r="AC9" s="147" t="s">
        <v>5</v>
      </c>
      <c r="AD9" s="147" t="s">
        <v>27</v>
      </c>
      <c r="AE9" s="147" t="s">
        <v>244</v>
      </c>
      <c r="AF9" s="147" t="s">
        <v>245</v>
      </c>
      <c r="AG9" s="147" t="s">
        <v>246</v>
      </c>
      <c r="AH9" s="147" t="s">
        <v>247</v>
      </c>
      <c r="AI9" s="148"/>
      <c r="AJ9" s="149" t="s">
        <v>252</v>
      </c>
      <c r="AK9" s="149" t="s">
        <v>248</v>
      </c>
      <c r="AL9" s="149" t="s">
        <v>254</v>
      </c>
      <c r="AM9" s="149" t="s">
        <v>248</v>
      </c>
      <c r="AN9" s="149" t="s">
        <v>255</v>
      </c>
      <c r="AO9" s="150" t="s">
        <v>256</v>
      </c>
      <c r="AP9" s="150" t="s">
        <v>256</v>
      </c>
      <c r="AQ9" s="149" t="s">
        <v>252</v>
      </c>
      <c r="AR9" s="149" t="s">
        <v>248</v>
      </c>
      <c r="AS9" s="149" t="s">
        <v>254</v>
      </c>
      <c r="AT9" s="149" t="s">
        <v>248</v>
      </c>
      <c r="AU9" s="149" t="s">
        <v>255</v>
      </c>
      <c r="AV9" s="150" t="s">
        <v>256</v>
      </c>
      <c r="AW9" s="150" t="s">
        <v>256</v>
      </c>
      <c r="AX9" s="149" t="s">
        <v>252</v>
      </c>
      <c r="AY9" s="149" t="s">
        <v>248</v>
      </c>
      <c r="AZ9" s="149" t="s">
        <v>254</v>
      </c>
      <c r="BA9" s="149" t="s">
        <v>248</v>
      </c>
      <c r="BB9" s="149" t="s">
        <v>255</v>
      </c>
      <c r="BC9" s="150" t="s">
        <v>256</v>
      </c>
      <c r="BD9" s="150" t="s">
        <v>256</v>
      </c>
      <c r="BE9" s="149" t="s">
        <v>252</v>
      </c>
      <c r="BF9" s="149" t="s">
        <v>248</v>
      </c>
      <c r="BG9" s="149" t="s">
        <v>254</v>
      </c>
      <c r="BH9" s="149" t="s">
        <v>248</v>
      </c>
      <c r="BI9" s="149" t="s">
        <v>255</v>
      </c>
      <c r="BJ9" s="150" t="s">
        <v>256</v>
      </c>
      <c r="BK9" s="150" t="s">
        <v>256</v>
      </c>
      <c r="BL9" s="149" t="s">
        <v>252</v>
      </c>
      <c r="BM9" s="149" t="s">
        <v>248</v>
      </c>
      <c r="BN9" s="149" t="s">
        <v>254</v>
      </c>
      <c r="BO9" s="149" t="s">
        <v>248</v>
      </c>
      <c r="BP9" s="149" t="s">
        <v>255</v>
      </c>
      <c r="BQ9" s="150" t="s">
        <v>256</v>
      </c>
      <c r="BR9" s="150" t="s">
        <v>256</v>
      </c>
      <c r="BS9" s="146"/>
    </row>
    <row r="10" spans="1:71" s="154" customFormat="1" ht="18" customHeight="1" x14ac:dyDescent="0.2">
      <c r="A10" s="154" t="s">
        <v>248</v>
      </c>
      <c r="B10" s="154">
        <v>1</v>
      </c>
      <c r="G10" s="154">
        <v>0</v>
      </c>
      <c r="H10" s="169"/>
      <c r="I10" s="170" t="s">
        <v>262</v>
      </c>
      <c r="J10" s="157">
        <v>1</v>
      </c>
      <c r="K10" s="157" t="s">
        <v>249</v>
      </c>
      <c r="L10" s="168" t="s">
        <v>261</v>
      </c>
      <c r="M10" s="160" t="s">
        <v>79</v>
      </c>
      <c r="N10" s="157"/>
      <c r="O10" s="165"/>
      <c r="P10" s="164"/>
      <c r="Q10" s="164"/>
      <c r="R10" s="162"/>
      <c r="S10" s="164">
        <v>44375</v>
      </c>
      <c r="T10" s="164">
        <v>44386</v>
      </c>
      <c r="U10" s="162">
        <v>10</v>
      </c>
      <c r="V10" s="159">
        <v>0</v>
      </c>
      <c r="W10" s="161">
        <v>0</v>
      </c>
      <c r="X10" s="164"/>
      <c r="Y10" s="164"/>
      <c r="Z10" s="162"/>
      <c r="AA10" s="165"/>
      <c r="AB10" s="165"/>
      <c r="AC10" s="165"/>
      <c r="AD10" s="163"/>
      <c r="AE10" s="157"/>
      <c r="AF10" s="157"/>
      <c r="AG10" s="157"/>
      <c r="AH10" s="157"/>
      <c r="AI10" s="158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  <c r="BR10" s="155"/>
      <c r="BS10" s="156"/>
    </row>
    <row r="11" spans="1:71" x14ac:dyDescent="0.2">
      <c r="H11" s="151"/>
      <c r="I11" s="151"/>
      <c r="J11" s="151"/>
      <c r="K11" s="166" t="s">
        <v>263</v>
      </c>
      <c r="L11" s="151"/>
      <c r="M11" s="151"/>
      <c r="N11" s="151"/>
      <c r="O11" s="151"/>
      <c r="P11" s="152"/>
      <c r="Q11" s="152"/>
      <c r="R11" s="151"/>
      <c r="S11" s="152"/>
      <c r="T11" s="152"/>
      <c r="U11" s="151"/>
      <c r="V11" s="151"/>
      <c r="W11" s="151"/>
      <c r="X11" s="152"/>
      <c r="Y11" s="152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</row>
    <row r="12" spans="1:71" x14ac:dyDescent="0.2">
      <c r="P12" s="153"/>
      <c r="Q12" s="153"/>
      <c r="S12" s="153"/>
      <c r="T12" s="153"/>
      <c r="X12" s="153"/>
      <c r="Y12" s="153"/>
    </row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C937999-D65C-40AA-AD2E-9EA8874D4FE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99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V10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elp"/>
  <dimension ref="B2:VGB31"/>
  <sheetViews>
    <sheetView showGridLines="0" showRowColHeaders="0" zoomScaleNormal="100" workbookViewId="0">
      <selection activeCell="D5" sqref="D5"/>
    </sheetView>
  </sheetViews>
  <sheetFormatPr defaultColWidth="9.14453125" defaultRowHeight="15" x14ac:dyDescent="0.2"/>
  <cols>
    <col min="1" max="1" width="9.14453125" style="120"/>
    <col min="2" max="2" width="0.94140625" style="120" customWidth="1"/>
    <col min="3" max="3" width="6.3203125" style="120" customWidth="1"/>
    <col min="4" max="4" width="1.34375" style="120" customWidth="1"/>
    <col min="5" max="15" width="9.14453125" style="120" customWidth="1"/>
    <col min="16" max="16" width="9.28125" style="120" customWidth="1"/>
    <col min="17" max="18" width="9.14453125" style="120" customWidth="1"/>
    <col min="19" max="19" width="8.33984375" style="120" customWidth="1"/>
    <col min="20" max="20" width="9.14453125" style="120" customWidth="1"/>
    <col min="21" max="21" width="9.28125" style="120" customWidth="1"/>
    <col min="22" max="22" width="2.015625" style="120" customWidth="1"/>
    <col min="23" max="23" width="0.8046875" style="120" customWidth="1"/>
    <col min="24" max="16384" width="9.14453125" style="120"/>
  </cols>
  <sheetData>
    <row r="2" spans="2:23 15055:15056" ht="5.25" customHeight="1" x14ac:dyDescent="0.2">
      <c r="B2" s="61"/>
      <c r="C2" s="61" t="s">
        <v>2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</row>
    <row r="3" spans="2:23 15055:15056" ht="15" customHeight="1" x14ac:dyDescent="0.2">
      <c r="B3" s="61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108"/>
      <c r="V3" s="109"/>
      <c r="W3" s="61"/>
      <c r="VGA3" s="110" t="s">
        <v>106</v>
      </c>
      <c r="VGB3" s="110" t="s">
        <v>107</v>
      </c>
    </row>
    <row r="4" spans="2:23 15055:15056" ht="15" customHeight="1" x14ac:dyDescent="0.2">
      <c r="B4" s="61"/>
      <c r="C4" s="75"/>
      <c r="D4" s="75"/>
      <c r="H4" s="180" t="s">
        <v>190</v>
      </c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75"/>
      <c r="U4" s="75"/>
      <c r="V4" s="75"/>
      <c r="W4" s="61"/>
    </row>
    <row r="5" spans="2:23 15055:15056" ht="15" customHeight="1" x14ac:dyDescent="0.5">
      <c r="B5" s="61"/>
      <c r="C5" s="75"/>
      <c r="D5" s="75"/>
      <c r="G5" s="134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W5" s="61"/>
    </row>
    <row r="6" spans="2:23 15055:15056" ht="35.450000000000003" customHeight="1" x14ac:dyDescent="0.2">
      <c r="B6" s="61"/>
      <c r="C6" s="75"/>
      <c r="D6" s="75"/>
      <c r="K6" s="111"/>
      <c r="L6" s="111"/>
      <c r="M6" s="111"/>
      <c r="N6" s="111"/>
      <c r="O6" s="111"/>
      <c r="P6" s="111"/>
      <c r="Q6" s="75"/>
      <c r="R6" s="75"/>
      <c r="S6" s="112"/>
      <c r="T6" s="75"/>
      <c r="U6" s="75"/>
      <c r="V6" s="75"/>
      <c r="W6" s="61"/>
    </row>
    <row r="7" spans="2:23 15055:15056" ht="15" customHeight="1" x14ac:dyDescent="0.2">
      <c r="B7" s="61"/>
      <c r="C7" s="113" t="s">
        <v>189</v>
      </c>
      <c r="D7" s="75"/>
      <c r="K7" s="111"/>
      <c r="L7" s="111"/>
      <c r="M7" s="111"/>
      <c r="N7" s="111"/>
      <c r="O7" s="111"/>
      <c r="P7" s="111"/>
      <c r="Q7" s="75"/>
      <c r="R7" s="75"/>
      <c r="S7" s="112"/>
      <c r="T7" s="75"/>
      <c r="U7" s="75"/>
      <c r="V7" s="75"/>
      <c r="W7" s="61"/>
    </row>
    <row r="8" spans="2:23 15055:15056" ht="3.95" customHeight="1" x14ac:dyDescent="0.2">
      <c r="B8" s="61"/>
      <c r="C8" s="61"/>
      <c r="D8" s="61"/>
      <c r="E8" s="61"/>
      <c r="F8" s="61"/>
      <c r="G8" s="61"/>
      <c r="H8" s="61"/>
      <c r="I8" s="61"/>
      <c r="J8" s="61"/>
      <c r="K8" s="114"/>
      <c r="L8" s="114"/>
      <c r="M8" s="114"/>
      <c r="N8" s="114"/>
      <c r="O8" s="114"/>
      <c r="P8" s="114"/>
      <c r="Q8" s="61"/>
      <c r="R8" s="61"/>
      <c r="S8" s="115"/>
      <c r="T8" s="61"/>
      <c r="U8" s="61"/>
      <c r="V8" s="61"/>
      <c r="W8" s="61"/>
    </row>
    <row r="9" spans="2:23 15055:15056" ht="45.75" customHeight="1" x14ac:dyDescent="0.2">
      <c r="B9" s="61"/>
      <c r="G9" s="179" t="s">
        <v>1</v>
      </c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W9" s="61"/>
    </row>
    <row r="10" spans="2:23 15055:15056" ht="15" customHeight="1" x14ac:dyDescent="0.25">
      <c r="B10" s="61"/>
      <c r="C10" s="120">
        <v>1</v>
      </c>
      <c r="D10" s="116">
        <v>1</v>
      </c>
      <c r="E10" s="117" t="s">
        <v>113</v>
      </c>
      <c r="F10" s="75"/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18"/>
      <c r="U10" s="118"/>
      <c r="V10" s="118"/>
      <c r="W10" s="61"/>
    </row>
    <row r="11" spans="2:23 15055:15056" ht="15" customHeight="1" x14ac:dyDescent="0.2">
      <c r="B11" s="61"/>
      <c r="E11" s="177" t="s">
        <v>103</v>
      </c>
      <c r="F11" s="177"/>
      <c r="G11" s="177"/>
      <c r="H11" s="177"/>
      <c r="I11" s="177"/>
      <c r="W11" s="61"/>
    </row>
    <row r="12" spans="2:23 15055:15056" ht="15" customHeight="1" x14ac:dyDescent="0.2">
      <c r="B12" s="61"/>
      <c r="W12" s="61"/>
    </row>
    <row r="13" spans="2:23 15055:15056" ht="15" customHeight="1" x14ac:dyDescent="0.25">
      <c r="B13" s="61"/>
      <c r="C13" s="120">
        <v>2</v>
      </c>
      <c r="E13" s="117" t="s">
        <v>191</v>
      </c>
      <c r="W13" s="61"/>
    </row>
    <row r="14" spans="2:23 15055:15056" ht="15" customHeight="1" x14ac:dyDescent="0.2">
      <c r="B14" s="61"/>
      <c r="W14" s="61"/>
    </row>
    <row r="15" spans="2:23 15055:15056" ht="15" customHeight="1" x14ac:dyDescent="0.2">
      <c r="B15" s="61"/>
      <c r="W15" s="61"/>
    </row>
    <row r="16" spans="2:23 15055:15056" ht="15" customHeight="1" x14ac:dyDescent="0.2">
      <c r="B16" s="61"/>
      <c r="W16" s="61"/>
    </row>
    <row r="17" spans="2:23" ht="15" customHeight="1" x14ac:dyDescent="0.2">
      <c r="B17" s="61"/>
      <c r="W17" s="61"/>
    </row>
    <row r="18" spans="2:23" ht="15" customHeight="1" x14ac:dyDescent="0.2">
      <c r="B18" s="61"/>
      <c r="W18" s="61"/>
    </row>
    <row r="19" spans="2:23" ht="15" customHeight="1" x14ac:dyDescent="0.2">
      <c r="B19" s="61"/>
      <c r="W19" s="61"/>
    </row>
    <row r="20" spans="2:23" ht="15" customHeight="1" x14ac:dyDescent="0.2">
      <c r="B20" s="61"/>
      <c r="W20" s="61"/>
    </row>
    <row r="21" spans="2:23" ht="15" customHeight="1" x14ac:dyDescent="0.2">
      <c r="B21" s="61"/>
      <c r="W21" s="61"/>
    </row>
    <row r="22" spans="2:23" ht="15" customHeight="1" x14ac:dyDescent="0.2">
      <c r="B22" s="61"/>
      <c r="E22" s="177" t="s">
        <v>192</v>
      </c>
      <c r="F22" s="177"/>
      <c r="G22" s="177"/>
      <c r="H22" s="177"/>
      <c r="W22" s="61"/>
    </row>
    <row r="23" spans="2:23" ht="15" customHeight="1" x14ac:dyDescent="0.2">
      <c r="B23" s="61"/>
      <c r="E23" s="177" t="s">
        <v>0</v>
      </c>
      <c r="F23" s="178"/>
      <c r="G23" s="178"/>
      <c r="H23" s="178"/>
      <c r="W23" s="61"/>
    </row>
    <row r="24" spans="2:23" ht="15" customHeight="1" x14ac:dyDescent="0.2">
      <c r="B24" s="61"/>
      <c r="W24" s="61"/>
    </row>
    <row r="25" spans="2:23" ht="3.75" customHeight="1" x14ac:dyDescent="0.2"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</row>
    <row r="26" spans="2:23" ht="15" customHeight="1" x14ac:dyDescent="0.2"/>
    <row r="31" spans="2:23" x14ac:dyDescent="0.2">
      <c r="H31" s="119"/>
    </row>
  </sheetData>
  <sheetProtection formatCells="0" formatColumns="0" formatRows="0" insertHyperlinks="0" selectLockedCells="1" autoFilter="0" selectUnlockedCells="1"/>
  <mergeCells count="5">
    <mergeCell ref="E11:I11"/>
    <mergeCell ref="E23:H23"/>
    <mergeCell ref="G9:S10"/>
    <mergeCell ref="H4:S5"/>
    <mergeCell ref="E22:H22"/>
  </mergeCells>
  <hyperlinks>
    <hyperlink ref="E11" r:id="rId1" tooltip="Enable Macros" xr:uid="{E6930E4B-358A-4AA7-85C3-4776918A8B58}"/>
    <hyperlink ref="E23" r:id="rId2" tooltip="Click Here For Documentation" xr:uid="{B39F301E-802E-46B9-9821-502A6093A025}"/>
    <hyperlink ref="E22" r:id="rId3" tooltip="Click Here For Documentation" display="CLICK HERE FOR DOCUMENTATION" xr:uid="{7F7EC8BB-46F0-4155-A707-C63C640C7E51}"/>
    <hyperlink ref="E22:H22" r:id="rId4" tooltip="Click Here For Documentation" display="QUICK START GUIDE" xr:uid="{320000D5-DE15-44A9-8590-022B863746AF}"/>
    <hyperlink ref="E11:I11" r:id="rId5" tooltip="Enable Macros" display="Click here for help to Enable Macros" xr:uid="{3ED5715E-BED6-44C2-BC80-46C24FB3E1AA}"/>
  </hyperlinks>
  <pageMargins left="0.7" right="0.7" top="0.75" bottom="0.75" header="0.3" footer="0.3"/>
  <pageSetup paperSize="9" orientation="portrait" r:id="rId6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39F32-B1AF-41E1-8408-B4B9AE924757}">
  <sheetPr codeName="GST1"/>
  <dimension ref="A1:LZ7"/>
  <sheetViews>
    <sheetView topLeftCell="CB1" workbookViewId="0">
      <selection activeCell="DD1" sqref="DD1"/>
    </sheetView>
  </sheetViews>
  <sheetFormatPr defaultColWidth="9.14453125" defaultRowHeight="15" x14ac:dyDescent="0.2"/>
  <cols>
    <col min="1" max="11" width="9.14453125" style="135"/>
    <col min="12" max="13" width="14.796875" style="135" customWidth="1"/>
    <col min="14" max="14" width="12.9140625" style="135" customWidth="1"/>
    <col min="15" max="19" width="9.14453125" style="135"/>
    <col min="20" max="20" width="12.64453125" style="135" customWidth="1"/>
    <col min="21" max="27" width="9.14453125" style="135"/>
    <col min="28" max="28" width="19.7734375" style="135" customWidth="1"/>
    <col min="29" max="16384" width="9.14453125" style="135"/>
  </cols>
  <sheetData>
    <row r="1" spans="1:338" x14ac:dyDescent="0.2">
      <c r="A1" s="53" t="s">
        <v>165</v>
      </c>
      <c r="B1" s="53" t="s">
        <v>179</v>
      </c>
      <c r="C1" s="51" t="s">
        <v>63</v>
      </c>
      <c r="D1" s="51" t="s">
        <v>94</v>
      </c>
      <c r="E1" s="51" t="s">
        <v>66</v>
      </c>
      <c r="F1" s="51" t="s">
        <v>74</v>
      </c>
      <c r="G1" s="51" t="s">
        <v>7</v>
      </c>
      <c r="H1" s="51" t="s">
        <v>9</v>
      </c>
      <c r="I1" s="51" t="s">
        <v>76</v>
      </c>
      <c r="J1" s="51" t="s">
        <v>75</v>
      </c>
      <c r="K1" s="51" t="s">
        <v>104</v>
      </c>
      <c r="L1" s="51" t="s">
        <v>181</v>
      </c>
      <c r="M1" s="51" t="s">
        <v>182</v>
      </c>
      <c r="N1" s="51" t="s">
        <v>96</v>
      </c>
      <c r="O1" s="51" t="s">
        <v>97</v>
      </c>
      <c r="P1" s="51" t="s">
        <v>72</v>
      </c>
      <c r="Q1" s="51" t="s">
        <v>71</v>
      </c>
      <c r="R1" s="51" t="s">
        <v>70</v>
      </c>
      <c r="S1" s="51" t="s">
        <v>69</v>
      </c>
      <c r="T1" s="51" t="s">
        <v>153</v>
      </c>
      <c r="U1" s="51" t="s">
        <v>154</v>
      </c>
      <c r="V1" s="51" t="s">
        <v>155</v>
      </c>
      <c r="W1" s="51" t="s">
        <v>156</v>
      </c>
      <c r="X1" s="51" t="s">
        <v>157</v>
      </c>
      <c r="Y1" s="51" t="s">
        <v>62</v>
      </c>
      <c r="Z1" s="51" t="s">
        <v>61</v>
      </c>
      <c r="AA1" s="51" t="s">
        <v>64</v>
      </c>
      <c r="AB1" s="51" t="s">
        <v>168</v>
      </c>
      <c r="AC1" s="51" t="s">
        <v>73</v>
      </c>
      <c r="AD1" s="51" t="s">
        <v>68</v>
      </c>
      <c r="AE1" s="51" t="s">
        <v>57</v>
      </c>
      <c r="AF1" s="51" t="s">
        <v>56</v>
      </c>
      <c r="AG1" s="51" t="s">
        <v>55</v>
      </c>
      <c r="AH1" s="51" t="s">
        <v>54</v>
      </c>
      <c r="AI1" s="51" t="s">
        <v>53</v>
      </c>
      <c r="AJ1" s="51" t="s">
        <v>52</v>
      </c>
      <c r="AK1" s="51" t="s">
        <v>51</v>
      </c>
      <c r="AL1" s="51" t="s">
        <v>99</v>
      </c>
      <c r="AM1" s="51" t="s">
        <v>100</v>
      </c>
      <c r="AN1" s="51" t="s">
        <v>178</v>
      </c>
      <c r="AO1" s="53" t="s">
        <v>114</v>
      </c>
      <c r="AP1" s="53" t="s">
        <v>115</v>
      </c>
      <c r="AQ1" s="53" t="s">
        <v>116</v>
      </c>
      <c r="AR1" s="53" t="s">
        <v>117</v>
      </c>
      <c r="AS1" s="53" t="s">
        <v>123</v>
      </c>
      <c r="AT1" s="53" t="s">
        <v>183</v>
      </c>
      <c r="AU1" s="53" t="s">
        <v>118</v>
      </c>
      <c r="AV1" s="53" t="s">
        <v>119</v>
      </c>
      <c r="AW1" s="53" t="s">
        <v>120</v>
      </c>
      <c r="AX1" s="53" t="s">
        <v>131</v>
      </c>
      <c r="AY1" s="53" t="s">
        <v>121</v>
      </c>
      <c r="AZ1" s="53" t="s">
        <v>122</v>
      </c>
      <c r="BA1" s="53" t="s">
        <v>149</v>
      </c>
      <c r="BB1" s="53" t="s">
        <v>184</v>
      </c>
      <c r="BC1" s="53" t="s">
        <v>124</v>
      </c>
      <c r="BD1" s="53" t="s">
        <v>125</v>
      </c>
      <c r="BE1" s="53" t="s">
        <v>126</v>
      </c>
      <c r="BF1" s="53" t="s">
        <v>158</v>
      </c>
      <c r="BG1" s="53" t="s">
        <v>159</v>
      </c>
      <c r="BH1" s="53" t="s">
        <v>127</v>
      </c>
      <c r="BI1" s="53" t="s">
        <v>147</v>
      </c>
      <c r="BJ1" s="53" t="s">
        <v>128</v>
      </c>
      <c r="BK1" s="53" t="s">
        <v>129</v>
      </c>
      <c r="BL1" s="53" t="s">
        <v>130</v>
      </c>
      <c r="BM1" s="53" t="s">
        <v>169</v>
      </c>
      <c r="BN1" s="53" t="s">
        <v>172</v>
      </c>
      <c r="BO1" s="53" t="s">
        <v>173</v>
      </c>
      <c r="BP1" s="53" t="s">
        <v>174</v>
      </c>
      <c r="BQ1" s="53" t="s">
        <v>175</v>
      </c>
      <c r="BR1" s="53" t="s">
        <v>176</v>
      </c>
      <c r="BS1" s="53" t="s">
        <v>177</v>
      </c>
      <c r="BT1" s="53" t="s">
        <v>132</v>
      </c>
      <c r="BU1" s="51" t="s">
        <v>133</v>
      </c>
      <c r="BV1" s="51" t="s">
        <v>134</v>
      </c>
      <c r="BW1" s="51" t="s">
        <v>135</v>
      </c>
      <c r="BX1" s="51" t="s">
        <v>136</v>
      </c>
      <c r="BY1" s="51" t="s">
        <v>137</v>
      </c>
      <c r="BZ1" s="51" t="s">
        <v>138</v>
      </c>
      <c r="CA1" s="51" t="s">
        <v>139</v>
      </c>
      <c r="CB1" s="51" t="s">
        <v>140</v>
      </c>
      <c r="CC1" s="51" t="s">
        <v>141</v>
      </c>
      <c r="CD1" s="51" t="s">
        <v>142</v>
      </c>
      <c r="CE1" s="51" t="s">
        <v>143</v>
      </c>
      <c r="CF1" s="51" t="s">
        <v>145</v>
      </c>
      <c r="CG1" s="51" t="s">
        <v>144</v>
      </c>
      <c r="CH1" s="51" t="s">
        <v>148</v>
      </c>
      <c r="CI1" s="51" t="s">
        <v>150</v>
      </c>
      <c r="CJ1" s="51" t="s">
        <v>151</v>
      </c>
      <c r="CK1" s="51" t="s">
        <v>152</v>
      </c>
      <c r="CL1" s="51" t="s">
        <v>142</v>
      </c>
      <c r="CM1" s="51" t="s">
        <v>143</v>
      </c>
      <c r="CN1" s="51" t="s">
        <v>145</v>
      </c>
      <c r="CO1" s="51" t="s">
        <v>144</v>
      </c>
      <c r="CP1" s="51" t="s">
        <v>148</v>
      </c>
      <c r="CQ1" s="51" t="s">
        <v>150</v>
      </c>
      <c r="CR1" s="51" t="s">
        <v>151</v>
      </c>
      <c r="CS1" s="51" t="s">
        <v>152</v>
      </c>
      <c r="CT1" s="54" t="s">
        <v>166</v>
      </c>
      <c r="CU1" s="54" t="s">
        <v>161</v>
      </c>
      <c r="CV1" s="54" t="s">
        <v>167</v>
      </c>
      <c r="CW1" s="54" t="s">
        <v>164</v>
      </c>
      <c r="CX1" s="54" t="s">
        <v>163</v>
      </c>
      <c r="CY1" s="54" t="s">
        <v>180</v>
      </c>
      <c r="CZ1" s="54" t="s">
        <v>188</v>
      </c>
      <c r="DA1" s="54" t="s">
        <v>187</v>
      </c>
      <c r="DB1" s="54" t="s">
        <v>186</v>
      </c>
      <c r="DC1" s="54" t="s">
        <v>185</v>
      </c>
      <c r="DD1" s="54" t="s">
        <v>193</v>
      </c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</row>
    <row r="2" spans="1:338" x14ac:dyDescent="0.2">
      <c r="A2" s="120" t="s">
        <v>146</v>
      </c>
      <c r="B2" s="120">
        <v>0</v>
      </c>
      <c r="C2" s="51" t="s">
        <v>49</v>
      </c>
      <c r="D2" s="51" t="s">
        <v>95</v>
      </c>
      <c r="E2" s="51" t="b">
        <v>1</v>
      </c>
      <c r="F2" s="55" t="s">
        <v>11</v>
      </c>
      <c r="G2" s="56">
        <v>0</v>
      </c>
      <c r="H2" s="56">
        <v>0</v>
      </c>
      <c r="I2" s="55"/>
      <c r="J2" s="55">
        <v>0</v>
      </c>
      <c r="K2" s="55" t="b">
        <v>0</v>
      </c>
      <c r="L2" s="55" t="b">
        <v>1</v>
      </c>
      <c r="M2" s="55" t="b">
        <v>1</v>
      </c>
      <c r="N2" s="55" t="b">
        <v>1</v>
      </c>
      <c r="O2" s="55" t="b">
        <v>1</v>
      </c>
      <c r="P2" s="55">
        <v>1</v>
      </c>
      <c r="Q2" s="55">
        <v>1</v>
      </c>
      <c r="R2" s="55">
        <v>1</v>
      </c>
      <c r="S2" s="55">
        <v>1</v>
      </c>
      <c r="T2" s="55" t="b">
        <v>1</v>
      </c>
      <c r="U2" s="55" t="b">
        <v>1</v>
      </c>
      <c r="V2" s="55" t="b">
        <v>1</v>
      </c>
      <c r="W2" s="55" t="b">
        <v>1</v>
      </c>
      <c r="X2" s="55" t="b">
        <v>1</v>
      </c>
      <c r="Y2" s="51" t="b">
        <v>1</v>
      </c>
      <c r="Z2" s="51" t="b">
        <v>0</v>
      </c>
      <c r="AA2" s="51">
        <v>0</v>
      </c>
      <c r="AB2" s="55">
        <v>1</v>
      </c>
      <c r="AC2" s="55" t="s">
        <v>50</v>
      </c>
      <c r="AD2" s="55">
        <v>1</v>
      </c>
      <c r="AE2" s="51" t="b">
        <v>0</v>
      </c>
      <c r="AF2" s="51">
        <v>20</v>
      </c>
      <c r="AG2" s="93" t="s">
        <v>160</v>
      </c>
      <c r="AH2" s="51" t="s">
        <v>43</v>
      </c>
      <c r="AI2" s="51" t="b">
        <v>1</v>
      </c>
      <c r="AJ2" s="51" t="b">
        <v>0</v>
      </c>
      <c r="AK2" s="51" t="b">
        <v>0</v>
      </c>
      <c r="AL2" s="51" t="s">
        <v>101</v>
      </c>
      <c r="AM2" s="51" t="s">
        <v>102</v>
      </c>
      <c r="AN2" s="51"/>
      <c r="AO2" s="120" t="s">
        <v>110</v>
      </c>
      <c r="AP2" s="120" t="s">
        <v>109</v>
      </c>
      <c r="AQ2" s="58"/>
      <c r="AR2" s="122"/>
      <c r="AS2" s="59"/>
      <c r="AT2" s="59"/>
      <c r="AU2" s="60"/>
      <c r="AV2" s="61"/>
      <c r="AW2" s="62"/>
      <c r="AX2" s="63"/>
      <c r="AY2" s="121"/>
      <c r="AZ2" s="64"/>
      <c r="BA2" s="64"/>
      <c r="BB2" s="121"/>
      <c r="BC2" s="95"/>
      <c r="BD2" s="123"/>
      <c r="BE2" s="125"/>
      <c r="BF2" s="124"/>
      <c r="BG2" s="125"/>
      <c r="BH2" s="96"/>
      <c r="BI2" s="75"/>
      <c r="BJ2" s="67"/>
      <c r="BK2" s="95"/>
      <c r="BL2" s="68"/>
      <c r="BM2" s="100"/>
      <c r="BN2" s="62"/>
      <c r="BO2" s="127"/>
      <c r="BP2" s="129"/>
      <c r="BQ2" s="77"/>
      <c r="BR2" s="103"/>
      <c r="BS2" s="96"/>
      <c r="BT2" s="120">
        <v>240</v>
      </c>
      <c r="BU2" s="69">
        <v>34</v>
      </c>
      <c r="BV2" s="51">
        <v>4</v>
      </c>
      <c r="BW2" s="51">
        <v>2</v>
      </c>
      <c r="BX2" s="51">
        <v>1</v>
      </c>
      <c r="BY2" s="51">
        <v>1</v>
      </c>
      <c r="BZ2" s="51">
        <v>1</v>
      </c>
      <c r="CA2" s="51">
        <v>3</v>
      </c>
      <c r="CB2" s="51">
        <v>3</v>
      </c>
      <c r="CC2" s="51">
        <v>6</v>
      </c>
      <c r="CD2" s="51">
        <v>8</v>
      </c>
      <c r="CE2" s="51">
        <v>10</v>
      </c>
      <c r="CF2" s="51">
        <v>12</v>
      </c>
      <c r="CG2" s="51">
        <v>15</v>
      </c>
      <c r="CH2" s="51" t="b">
        <v>1</v>
      </c>
      <c r="CI2" s="55" t="b">
        <v>1</v>
      </c>
      <c r="CJ2" s="57">
        <v>44375</v>
      </c>
      <c r="CK2" s="57">
        <v>44409</v>
      </c>
      <c r="CL2" s="51">
        <v>6</v>
      </c>
      <c r="CM2" s="51">
        <v>10</v>
      </c>
      <c r="CN2" s="51">
        <v>12</v>
      </c>
      <c r="CO2" s="51">
        <v>15</v>
      </c>
      <c r="CP2" s="51" t="b">
        <v>1</v>
      </c>
      <c r="CQ2" s="55" t="b">
        <v>1</v>
      </c>
      <c r="CR2" s="57">
        <v>43617</v>
      </c>
      <c r="CS2" s="57">
        <v>43672</v>
      </c>
      <c r="CT2" s="135" t="s">
        <v>251</v>
      </c>
      <c r="CU2" s="135" t="b">
        <v>1</v>
      </c>
      <c r="CV2" s="135" t="b">
        <v>1</v>
      </c>
      <c r="CW2" s="135" t="b">
        <v>1</v>
      </c>
      <c r="CX2" s="135" t="b">
        <v>1</v>
      </c>
      <c r="CY2" s="135" t="b">
        <v>1</v>
      </c>
      <c r="CZ2" s="135">
        <v>2000</v>
      </c>
      <c r="DA2" s="135">
        <v>2050</v>
      </c>
      <c r="DB2" s="133">
        <v>36526</v>
      </c>
      <c r="DC2" s="133">
        <v>54789</v>
      </c>
      <c r="DD2" s="133">
        <v>44343</v>
      </c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</row>
    <row r="3" spans="1:338" x14ac:dyDescent="0.2">
      <c r="A3" s="120"/>
      <c r="B3" s="120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120" t="s">
        <v>109</v>
      </c>
      <c r="AP3" s="120"/>
      <c r="AQ3" s="58"/>
      <c r="AR3" s="70"/>
      <c r="AS3" s="59"/>
      <c r="AT3" s="59"/>
      <c r="AU3" s="60"/>
      <c r="AV3" s="61"/>
      <c r="AW3" s="62"/>
      <c r="AX3" s="71"/>
      <c r="AY3" s="123"/>
      <c r="AZ3" s="64"/>
      <c r="BA3" s="64"/>
      <c r="BB3" s="130"/>
      <c r="BC3" s="66"/>
      <c r="BD3" s="123"/>
      <c r="BE3" s="125"/>
      <c r="BF3" s="124"/>
      <c r="BG3" s="125"/>
      <c r="BH3" s="65"/>
      <c r="BI3" s="66"/>
      <c r="BJ3" s="75"/>
      <c r="BK3" s="66"/>
      <c r="BL3" s="76"/>
      <c r="BM3" s="101"/>
      <c r="BN3" s="62"/>
      <c r="BO3" s="127"/>
      <c r="BP3" s="129"/>
      <c r="BQ3" s="77"/>
      <c r="BR3" s="103"/>
      <c r="BS3" s="96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</row>
    <row r="4" spans="1:338" x14ac:dyDescent="0.2">
      <c r="A4" s="120"/>
      <c r="B4" s="120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120" t="s">
        <v>111</v>
      </c>
      <c r="AP4" s="120"/>
      <c r="AQ4" s="65"/>
      <c r="AR4" s="77"/>
      <c r="AS4" s="78"/>
      <c r="AT4" s="78"/>
      <c r="AU4" s="79"/>
      <c r="AV4" s="70"/>
      <c r="AW4" s="62"/>
      <c r="AX4" s="80"/>
      <c r="AY4" s="81"/>
      <c r="AZ4" s="128"/>
      <c r="BA4" s="128"/>
      <c r="BB4" s="78"/>
      <c r="BC4" s="65"/>
      <c r="BD4" s="123"/>
      <c r="BE4" s="125"/>
      <c r="BF4" s="124"/>
      <c r="BG4" s="125"/>
      <c r="BH4" s="74"/>
      <c r="BI4" s="82"/>
      <c r="BJ4" s="120"/>
      <c r="BK4" s="120"/>
      <c r="BL4" s="76"/>
      <c r="BM4" s="97"/>
      <c r="BN4" s="62"/>
      <c r="BO4" s="127"/>
      <c r="BP4" s="129"/>
      <c r="BQ4" s="77"/>
      <c r="BR4" s="103"/>
      <c r="BS4" s="96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</row>
    <row r="5" spans="1:338" x14ac:dyDescent="0.2">
      <c r="A5" s="120"/>
      <c r="B5" s="120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120" t="s">
        <v>108</v>
      </c>
      <c r="AP5" s="120"/>
      <c r="AQ5" s="83"/>
      <c r="AR5" s="126"/>
      <c r="AS5" s="84"/>
      <c r="AT5" s="84"/>
      <c r="AU5" s="85"/>
      <c r="AV5" s="86"/>
      <c r="AW5" s="62"/>
      <c r="AX5" s="71"/>
      <c r="AY5" s="87"/>
      <c r="AZ5" s="72"/>
      <c r="BA5" s="72"/>
      <c r="BB5" s="76"/>
      <c r="BC5" s="88"/>
      <c r="BD5" s="123"/>
      <c r="BE5" s="125"/>
      <c r="BF5" s="124"/>
      <c r="BG5" s="125"/>
      <c r="BH5" s="89"/>
      <c r="BI5" s="73"/>
      <c r="BJ5" s="97"/>
      <c r="BK5" s="75"/>
      <c r="BL5" s="76"/>
      <c r="BM5" s="97"/>
      <c r="BN5" s="62"/>
      <c r="BO5" s="127"/>
      <c r="BP5" s="129"/>
      <c r="BQ5" s="77"/>
      <c r="BR5" s="103"/>
      <c r="BS5" s="96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</row>
    <row r="6" spans="1:338" x14ac:dyDescent="0.2">
      <c r="A6" s="120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 t="s">
        <v>112</v>
      </c>
      <c r="AP6" s="120"/>
      <c r="AQ6" s="58"/>
      <c r="AR6" s="70"/>
      <c r="AS6" s="59"/>
      <c r="AT6" s="59"/>
      <c r="AU6" s="60"/>
      <c r="AV6" s="61"/>
      <c r="AW6" s="62"/>
      <c r="AX6" s="71"/>
      <c r="AY6" s="123"/>
      <c r="AZ6" s="64"/>
      <c r="BA6" s="64"/>
      <c r="BB6" s="130"/>
      <c r="BC6" s="66"/>
      <c r="BD6" s="123"/>
      <c r="BE6" s="125"/>
      <c r="BF6" s="124"/>
      <c r="BG6" s="125"/>
      <c r="BH6" s="65"/>
      <c r="BI6" s="66"/>
      <c r="BJ6" s="75"/>
      <c r="BK6" s="66"/>
      <c r="BL6" s="76"/>
      <c r="BM6" s="101"/>
      <c r="BN6" s="62"/>
      <c r="BO6" s="127"/>
      <c r="BP6" s="129"/>
      <c r="BQ6" s="77"/>
      <c r="BR6" s="103"/>
      <c r="BS6" s="96"/>
      <c r="BT6" s="120"/>
      <c r="BU6" s="120"/>
      <c r="BV6" s="120"/>
      <c r="BW6" s="120"/>
      <c r="BX6" s="120"/>
      <c r="BY6" s="120"/>
      <c r="BZ6" s="120"/>
      <c r="CA6" s="120"/>
      <c r="CB6" s="120"/>
      <c r="CC6" s="120"/>
      <c r="CD6" s="120"/>
      <c r="CE6" s="120"/>
      <c r="CF6" s="120"/>
      <c r="CG6" s="120"/>
      <c r="CH6" s="120"/>
      <c r="CI6" s="120"/>
      <c r="CJ6" s="120"/>
      <c r="CK6" s="120"/>
      <c r="CL6" s="120"/>
      <c r="CM6" s="120"/>
      <c r="CN6" s="120"/>
      <c r="CO6" s="120"/>
      <c r="CP6" s="120"/>
      <c r="CQ6" s="120"/>
      <c r="CR6" s="120"/>
      <c r="CS6" s="120"/>
    </row>
    <row r="7" spans="1:338" x14ac:dyDescent="0.2">
      <c r="A7" s="120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58"/>
      <c r="AR7" s="70"/>
      <c r="AS7" s="59"/>
      <c r="AT7" s="59"/>
      <c r="AU7" s="60"/>
      <c r="AV7" s="61"/>
      <c r="AW7" s="62"/>
      <c r="AX7" s="71"/>
      <c r="AY7" s="123"/>
      <c r="AZ7" s="64"/>
      <c r="BA7" s="64"/>
      <c r="BB7" s="130"/>
      <c r="BC7" s="66"/>
      <c r="BD7" s="123"/>
      <c r="BE7" s="125"/>
      <c r="BF7" s="124"/>
      <c r="BG7" s="125"/>
      <c r="BH7" s="65"/>
      <c r="BI7" s="66"/>
      <c r="BJ7" s="75"/>
      <c r="BK7" s="66"/>
      <c r="BL7" s="76"/>
      <c r="BM7" s="101"/>
      <c r="BN7" s="62"/>
      <c r="BO7" s="127"/>
      <c r="BP7" s="129"/>
      <c r="BQ7" s="77"/>
      <c r="BR7" s="103"/>
      <c r="BS7" s="96"/>
      <c r="BT7" s="120"/>
      <c r="BU7" s="120"/>
      <c r="BV7" s="120"/>
      <c r="BW7" s="120"/>
      <c r="BX7" s="120"/>
      <c r="BY7" s="120"/>
      <c r="BZ7" s="120"/>
      <c r="CA7" s="120"/>
      <c r="CB7" s="120"/>
      <c r="CC7" s="120"/>
      <c r="CD7" s="120"/>
      <c r="CE7" s="120"/>
      <c r="CF7" s="120"/>
      <c r="CG7" s="120"/>
      <c r="CH7" s="120"/>
      <c r="CI7" s="120"/>
      <c r="CJ7" s="120"/>
      <c r="CK7" s="120"/>
      <c r="CL7" s="120"/>
      <c r="CM7" s="120"/>
      <c r="CN7" s="120"/>
      <c r="CO7" s="120"/>
      <c r="CP7" s="120"/>
      <c r="CQ7" s="120"/>
      <c r="CR7" s="120"/>
      <c r="CS7" s="120"/>
    </row>
  </sheetData>
  <sheetProtection formatCells="0" formatColumns="0" formatRows="0" insertHyperlinks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601CE-CB5B-4A8E-A97D-AFF7346EEBA1}">
  <dimension ref="A1:T2"/>
  <sheetViews>
    <sheetView workbookViewId="0"/>
  </sheetViews>
  <sheetFormatPr defaultRowHeight="15" x14ac:dyDescent="0.2"/>
  <sheetData>
    <row r="1" spans="1:20" x14ac:dyDescent="0.2">
      <c r="A1" t="s">
        <v>199</v>
      </c>
      <c r="B1" t="s">
        <v>200</v>
      </c>
      <c r="C1" t="s">
        <v>201</v>
      </c>
      <c r="D1" t="s">
        <v>202</v>
      </c>
      <c r="K1" t="s">
        <v>203</v>
      </c>
      <c r="L1" t="s">
        <v>204</v>
      </c>
      <c r="M1" t="s">
        <v>205</v>
      </c>
      <c r="N1" t="s">
        <v>206</v>
      </c>
      <c r="O1" t="s">
        <v>207</v>
      </c>
      <c r="P1" t="s">
        <v>208</v>
      </c>
      <c r="Q1" t="s">
        <v>209</v>
      </c>
      <c r="R1" t="s">
        <v>210</v>
      </c>
      <c r="S1" t="s">
        <v>211</v>
      </c>
      <c r="T1" t="s">
        <v>212</v>
      </c>
    </row>
    <row r="2" spans="1:20" x14ac:dyDescent="0.2">
      <c r="A2" t="s">
        <v>213</v>
      </c>
      <c r="C2" t="b">
        <v>0</v>
      </c>
      <c r="E2" s="136" t="s">
        <v>214</v>
      </c>
      <c r="K2" s="137">
        <v>0.375</v>
      </c>
      <c r="L2" s="137">
        <v>0.75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addtaskbelowselection.png" Type="http://schemas.openxmlformats.org/officeDocument/2006/relationships/image" Target="images/addtaskbelowselection.png" /><Relationship Id="Upgrade64.png" Type="http://schemas.openxmlformats.org/officeDocument/2006/relationships/image" Target="images/Upgrade64.png" /><Relationship Id="ExportToPDF.png" Type="http://schemas.openxmlformats.org/officeDocument/2006/relationships/image" Target="images/ExportToPDF.png" /><Relationship Id="EditTask64.png" Type="http://schemas.openxmlformats.org/officeDocument/2006/relationships/image" Target="images/EditTask64.png" /><Relationship Id="AddGanttChart64.png" Type="http://schemas.openxmlformats.org/officeDocument/2006/relationships/image" Target="images/AddGanttChart64.png" /><Relationship Id="Settings64.png" Type="http://schemas.openxmlformats.org/officeDocument/2006/relationships/image" Target="images/Settings64.png" /><Relationship Id="addtaskatselection.png" Type="http://schemas.openxmlformats.org/officeDocument/2006/relationships/image" Target="images/addtaskatselection.png" /><Relationship Id="duplicate64.png" Type="http://schemas.openxmlformats.org/officeDocument/2006/relationships/image" Target="images/duplicate64.png" /><Relationship Id="Resources64.png" Type="http://schemas.openxmlformats.org/officeDocument/2006/relationships/image" Target="images/Resources64.png" /><Relationship Id="moveupblue16.png" Type="http://schemas.openxmlformats.org/officeDocument/2006/relationships/image" Target="images/moveupblue16.png" /><Relationship Id="ScrolltoEnd.png" Type="http://schemas.openxmlformats.org/officeDocument/2006/relationships/image" Target="images/ScrolltoEnd.png" /><Relationship Id="YearlyView.png" Type="http://schemas.openxmlformats.org/officeDocument/2006/relationships/image" Target="images/YearlyView.png" /><Relationship Id="DailyView.png" Type="http://schemas.openxmlformats.org/officeDocument/2006/relationships/image" Target="images/DailyView.png" /><Relationship Id="SetupTimeline.png" Type="http://schemas.openxmlformats.org/officeDocument/2006/relationships/image" Target="images/SetupTimeline.png" /><Relationship Id="AddTask.png" Type="http://schemas.openxmlformats.org/officeDocument/2006/relationships/image" Target="images/AddTask64.png" /><Relationship Id="HalfYearlyView.png" Type="http://schemas.openxmlformats.org/officeDocument/2006/relationships/image" Target="images/HalfYearlyView.png" /><Relationship Id="editproject.png" Type="http://schemas.openxmlformats.org/officeDocument/2006/relationships/image" Target="images/editproject.png" /><Relationship Id="AddSection64.png" Type="http://schemas.openxmlformats.org/officeDocument/2006/relationships/image" Target="images/AddSection64.png" /><Relationship Id="makeparent16.png" Type="http://schemas.openxmlformats.org/officeDocument/2006/relationships/image" Target="images/makeparent16.png" /><Relationship Id="ExportToXLSX.png" Type="http://schemas.openxmlformats.org/officeDocument/2006/relationships/image" Target="images/ExportToXLSX.png" /><Relationship Id="DailyView64.png" Type="http://schemas.openxmlformats.org/officeDocument/2006/relationships/image" Target="images/daily64.png" /><Relationship Id="QuarterlyView.png" Type="http://schemas.openxmlformats.org/officeDocument/2006/relationships/image" Target="images/QuarterlyView.png" /><Relationship Id="MonthlyView.png" Type="http://schemas.openxmlformats.org/officeDocument/2006/relationships/image" Target="images/MonthlyView.png" /><Relationship Id="HourlyView.png" Type="http://schemas.openxmlformats.org/officeDocument/2006/relationships/image" Target="images/HourlyView.png" /><Relationship Id="movedownblue16.png" Type="http://schemas.openxmlformats.org/officeDocument/2006/relationships/image" Target="images/movedownblue16.png" /><Relationship Id="About64.png" Type="http://schemas.openxmlformats.org/officeDocument/2006/relationships/image" Target="images/About64.png" /><Relationship Id="dash64.png" Type="http://schemas.openxmlformats.org/officeDocument/2006/relationships/image" Target="images/dash64.png" /><Relationship Id="AddMilestone.png" Type="http://schemas.openxmlformats.org/officeDocument/2006/relationships/image" Target="images/AddMilestone.png" /><Relationship Id="WeeklyView.png" Type="http://schemas.openxmlformats.org/officeDocument/2006/relationships/image" Target="images/WeeklyView.png" /><Relationship Id="deleteTask64.png" Type="http://schemas.openxmlformats.org/officeDocument/2006/relationships/image" Target="images/deleteTask64.png" /><Relationship Id="makechild16.png" Type="http://schemas.openxmlformats.org/officeDocument/2006/relationships/image" Target="images/makechild16.png" /><Relationship Id="ScrolltoStart.png" Type="http://schemas.openxmlformats.org/officeDocument/2006/relationships/image" Target="images/ScrolltoStart.png" /><Relationship Id="ScrolltoToday.png" Type="http://schemas.openxmlformats.org/officeDocument/2006/relationships/image" Target="images/ScrolltoToday.png" /><Relationship Id="moreviews.png" Type="http://schemas.openxmlformats.org/officeDocument/2006/relationships/image" Target="images/moreviews.png" /></Relationships>
</file>

<file path=customUI/customUI.xml><?xml version="1.0" encoding="utf-8"?>
<customUI xmlns="http://schemas.microsoft.com/office/2006/01/customui" onLoad="OnRibbonLoad">
  <ribbon startFromScratch="false">
    <tabs>
      <tab idMso="TabHome">
        <group idMso="GroupEditingExcel" visible="false"> 
				</group>
        <group idMso="GroupCells" visible="false"> 
				</group>
      </tab>
      <tab idMso="TabData">
        <group idMso="GroupSortFilter" visible="false"> 
				</group>
      </tab>
      <tab idMso="TabReview" visible="false">   
</tab>
      <tab id="tabGantt" insertBeforeMso="TabHome" label="GANTT" keytip="G">
        <group id="grpGanttCharts" label="Gantt Charts" getVisible="GetVisible">
          <button id="btnAddGanttChart" label="Add New Gantt Chart" size="large" onAction="OnActionButton" image="AddGanttChart64.png" getEnabled="GetEnabled" keytip="C" screentip="Add New Gantt Chart Worksheet"/>
          <button id="btnEditGanttChart" label="Edit Project" size="normal" onAction="btnEditGanttChart" image="editproject.png" getEnabled="GetEnabled" keytip="P" screentip="Edit Project Details"/>
          <button id="btnDashboard" label="Dashboard" size="normal" onAction="btnDashboardRib" image="dash64.png" keytip="B" getEnabled="GetEnabled" screentip="Generate Project Dashboard"/>
        </group>
        <group id="grpCreateEditDelete" label="Tasks" getVisible="GetVisible">
          <button id="btnAddTaskAtSelection" label="Add Task" size="large" onAction="AddTaskAtSelection" image="AddTask.png" keytip="A" getEnabled="GetEnabled" screentip="Add Task"/>
          <button id="btnSetMilestone" label="Add Milestone" size="large" onAction="AddMilestone" getEnabled="GetEnabled" image="AddMilestone.png" keytip="M" screentip="Add Milestone"/>
          <button id="btnEdit" label="Edit" size="normal" onAction="EditTask" getEnabled="GetEnabled" image="EditTask64.png" screentip="Edit task" keytip="E"/>
          <button id="btnDuplicate" label="Duplicate" screentip="Duplicate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Set as Parent Task" supertip="Alt + Left Arrow" image="makeparent16.png" onAction="tIndentLeft" keytip="TP" getEnabled="GetEnabled"/>
          <button id="btnChild" label="Make Child" size="normal" screentip="Set as Child Task" supertip="Alt + Right Arrow" image="makechild16.png" onAction="tIndentRight" keytip="TC" getEnabled="GetEnabled"/>
          <separator id="sep199"/>
          <button id="btnMoveUp" label="Move Up" size="normal" screentip="Move task up" supertip="Alt + Up Arrow" image="moveupblue16.png" onAction="MoveUpAboveRib" keytip="TU" getEnabled="GetEnabled"/>
          <button id="btnMoveDown" label="Move Down" size="normal" screentip="Move task down" supertip="Alt + Down Arrow" image="movedownblue16.png" onAction="MoveDownBelowRib" keytip="TD" getEnabled="GetEnabled"/>
        </group>
        <group id="grpDisplay6" label=" " getVisible="GetVisible">
          <button id="btnHourly" onAction="HourlyViewRib" label="Hourly View" image="HourlyView.png" screentip="Hourly View" size="large" getVisible="GetVisiblev" getEnabled="GetEnabled" keytip="VH"/>
        </group>
        <group id="grpDisplay1" label="Timeline" getVisible="GetVisible">
          <button id="btnDaily" label="Daily View" onAction="DailyViewRib" getEnabled="GetEnabled" image="DailyView64.png" screentip="Daily View" size="large" keytip="VD"/>
          <menu id="mnuMoreViews" label="More Views" image="moreviews.png" size="large" itemSize="large" screentip="More Views" keytip="VE">
            <button id="btnWeekly" label="Weekly View" onAction="WeeklyViewRib" getEnabled="GetEnabled" image="WeeklyView.png" screentip="Weekly View" keytip="VW"/>
            <button id="btnMonthly" label="Monthly View" onAction="MonthlyViewRib" getEnabled="GetEnabled" image="MonthlyView.png" screentip="Monthly View" keytip="VM"/>
            <button id="btnQuarterlyView" label="&amp;Quarterly View" onAction="OnActionButton" image="QuarterlyView.png" getEnabled="GetEnabled" screentip="Quarterly View"/>
            <button id="btnHalfYearlyView" label="&amp;Half Yearly View" onAction="OnActionButton" image="HalfYearlyView.png" getEnabled="GetEnabled" screentip="Half Yearly View"/>
            <button id="btnYearlyView" label="&amp;Yearly View" onAction="OnActionButton" image="YearlyView.png" getEnabled="GetEnabled" screentip="Yearly View"/>
          </menu>
          <separator id="timelinesep1"/>
          <button id="btnSetupTimeline" label="Setup Timeline" onAction="SetupTimelineRib" getEnabled="GetEnabled" image="SetupTimeline.png" screentip="Setup Timeline Dates" size="normal"/>
          <checkBox id="ShowTimeline" label="Show Timeline" onAction="OnActionCheckbox" getPressed="GetPressedCheckbox" getEnabled="GetEnabled"/>
          <checkBox id="RefreshTimeline" label="Refresh Timeline" onAction="OnActionCheckbox" getPressed="GetPressedCheckbox" getEnabled="GetEnabled"/>
          <button id="btnGotoStart" label="Scroll to Start" onAction="GotoStartRib" getEnabled="GetEnabled" image="ScrolltoStart.png" screentip="Scroll to start of project" keytip="SS" size="normal"/>
          <button id="btnGotoToday" label="Scroll to Today" onAction="GotoTodayRib" getEnabled="GetEnabled" image="ScrolltoToday.png" screentip="Scroll to today" keytip="ST" size="normal"/>
          <button id="btnGotoEnd" label="Scroll to End" onAction="GotoEndRib" getEnabled="GetEnabled" image="ScrolltoEnd.png" keytip="SE" screentip="Scroll to end of project" size="normal"/>
        </group>
        <group id="grpDisplay5" label="Filters" getVisible="GetVisible">
          <checkBox id="chkShowCompleted" label="Show Completed" onAction="OnActionCheckbox" getPressed="GetPressedCheckbox" getEnabled="GetEnabled"/>
          <checkBox id="chkShowInProgress" label="Show In Progress" onAction="OnActionCheckbox" getPressed="GetPressedCheckbox" getEnabled="GetEnabled"/>
          <checkBox id="chkShowPlanned" label="Show Planned" onAction="OnActionCheckbox" getPressed="GetPressedCheckbox" getEnabled="GetEnabled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 task group" imageMso="OutlineShowDetail" onAction="OutlineShowDetailRib" getEnabled="GetEnabled"/>
          <button id="btnCollapseAllGroups" label="Collapse Groups" size="normal" screentip="Collapse group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imageMso="ColumnWidth" label="Auto Col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Settings" getVisible="GetVisible">
          <button id="btnResources" size="large" label="Resources" image="Resources64.png" onAction="ShowResources" getEnabled="GetEnabled" keytip="R"/>
          <button id="btnSettings" size="large" label="Settings" image="Settings64.png" onAction="ShowSettings" keytip="N" getEnabled="GetEnabled"/>
          <button id="btnExportToPDF" size="large" label="Export to PDF" image="ExportToPDF.png" onAction="ExportToPDF" getEnabled="GetEnabled"/>
          <button id="btnExportToXLSX" size="large" label="Export to XLSX" image="ExportToXLSX.png" onAction="ExportToXLSX" getEnabled="GetEnabled"/>
        </group>
        <group id="grpAboutGanttExcel" label="Gantt 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Project Plan</vt:lpstr>
      <vt:lpstr>Help</vt:lpstr>
      <vt:lpstr>GanttDashboardTemplate!Print_Area</vt:lpstr>
      <vt:lpstr>GanttDashboardTemplate!Print_Titles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Sonia Rodrigues</cp:lastModifiedBy>
  <cp:revision>0</cp:revision>
  <cp:lastPrinted>2021-02-12T13:46:01Z</cp:lastPrinted>
  <dcterms:created xsi:type="dcterms:W3CDTF">2016-09-10T13:03:48Z</dcterms:created>
  <dcterms:modified xsi:type="dcterms:W3CDTF">2021-06-28T07:47:44Z</dcterms:modified>
  <cp:category>Excel Template</cp:category>
  <cp:version>3.0</cp:version>
</cp:coreProperties>
</file>